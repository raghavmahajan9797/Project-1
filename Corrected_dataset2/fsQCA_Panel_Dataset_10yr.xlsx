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Project-1\Corrected dataset time included\"/>
    </mc:Choice>
  </mc:AlternateContent>
  <xr:revisionPtr revIDLastSave="0" documentId="13_ncr:1_{6795C5BA-0722-460B-8791-A176B634E865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Read Me" sheetId="1" r:id="rId1"/>
    <sheet name="Panel Dataset" sheetId="2" r:id="rId2"/>
    <sheet name="Fuzzy Calibratio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66" i="3" l="1"/>
  <c r="I266" i="3"/>
  <c r="H266" i="3"/>
  <c r="C266" i="3"/>
  <c r="B266" i="3"/>
  <c r="E265" i="3"/>
  <c r="C265" i="3"/>
  <c r="B265" i="3"/>
  <c r="J264" i="3"/>
  <c r="I264" i="3"/>
  <c r="E264" i="3"/>
  <c r="D264" i="3"/>
  <c r="C264" i="3"/>
  <c r="B264" i="3"/>
  <c r="J263" i="3"/>
  <c r="C263" i="3"/>
  <c r="B263" i="3"/>
  <c r="J262" i="3"/>
  <c r="I262" i="3"/>
  <c r="E262" i="3"/>
  <c r="C262" i="3"/>
  <c r="B262" i="3"/>
  <c r="J261" i="3"/>
  <c r="I261" i="3"/>
  <c r="C261" i="3"/>
  <c r="B261" i="3"/>
  <c r="F260" i="3"/>
  <c r="E260" i="3"/>
  <c r="D260" i="3"/>
  <c r="C260" i="3"/>
  <c r="B260" i="3"/>
  <c r="J259" i="3"/>
  <c r="F259" i="3"/>
  <c r="E259" i="3"/>
  <c r="C259" i="3"/>
  <c r="B259" i="3"/>
  <c r="D258" i="3"/>
  <c r="C258" i="3"/>
  <c r="B258" i="3"/>
  <c r="J257" i="3"/>
  <c r="F257" i="3"/>
  <c r="E257" i="3"/>
  <c r="D257" i="3"/>
  <c r="C257" i="3"/>
  <c r="B257" i="3"/>
  <c r="J256" i="3"/>
  <c r="I256" i="3"/>
  <c r="C256" i="3"/>
  <c r="B256" i="3"/>
  <c r="J255" i="3"/>
  <c r="I255" i="3"/>
  <c r="F255" i="3"/>
  <c r="E255" i="3"/>
  <c r="D255" i="3"/>
  <c r="C255" i="3"/>
  <c r="B255" i="3"/>
  <c r="J254" i="3"/>
  <c r="I254" i="3"/>
  <c r="F254" i="3"/>
  <c r="E254" i="3"/>
  <c r="D254" i="3"/>
  <c r="C254" i="3"/>
  <c r="B254" i="3"/>
  <c r="C253" i="3"/>
  <c r="B253" i="3"/>
  <c r="J252" i="3"/>
  <c r="I252" i="3"/>
  <c r="F252" i="3"/>
  <c r="E252" i="3"/>
  <c r="D252" i="3"/>
  <c r="C252" i="3"/>
  <c r="B252" i="3"/>
  <c r="J251" i="3"/>
  <c r="I251" i="3"/>
  <c r="C251" i="3"/>
  <c r="B251" i="3"/>
  <c r="J250" i="3"/>
  <c r="I250" i="3"/>
  <c r="C250" i="3"/>
  <c r="B250" i="3"/>
  <c r="J249" i="3"/>
  <c r="F249" i="3"/>
  <c r="E249" i="3"/>
  <c r="C249" i="3"/>
  <c r="B249" i="3"/>
  <c r="F248" i="3"/>
  <c r="E248" i="3"/>
  <c r="D248" i="3"/>
  <c r="C248" i="3"/>
  <c r="B248" i="3"/>
  <c r="J247" i="3"/>
  <c r="C247" i="3"/>
  <c r="B247" i="3"/>
  <c r="J246" i="3"/>
  <c r="I246" i="3"/>
  <c r="C246" i="3"/>
  <c r="B246" i="3"/>
  <c r="J245" i="3"/>
  <c r="I245" i="3"/>
  <c r="F245" i="3"/>
  <c r="E245" i="3"/>
  <c r="D245" i="3"/>
  <c r="C245" i="3"/>
  <c r="B245" i="3"/>
  <c r="J244" i="3"/>
  <c r="I244" i="3"/>
  <c r="C244" i="3"/>
  <c r="B244" i="3"/>
  <c r="F243" i="3"/>
  <c r="E243" i="3"/>
  <c r="D243" i="3"/>
  <c r="C243" i="3"/>
  <c r="B243" i="3"/>
  <c r="J242" i="3"/>
  <c r="I242" i="3"/>
  <c r="F242" i="3"/>
  <c r="E242" i="3"/>
  <c r="D242" i="3"/>
  <c r="C242" i="3"/>
  <c r="B242" i="3"/>
  <c r="J241" i="3"/>
  <c r="C241" i="3"/>
  <c r="B241" i="3"/>
  <c r="J240" i="3"/>
  <c r="E240" i="3"/>
  <c r="D240" i="3"/>
  <c r="C240" i="3"/>
  <c r="B240" i="3"/>
  <c r="J239" i="3"/>
  <c r="F239" i="3"/>
  <c r="C239" i="3"/>
  <c r="B239" i="3"/>
  <c r="F238" i="3"/>
  <c r="C238" i="3"/>
  <c r="B238" i="3"/>
  <c r="J237" i="3"/>
  <c r="F237" i="3"/>
  <c r="E237" i="3"/>
  <c r="D237" i="3"/>
  <c r="C237" i="3"/>
  <c r="B237" i="3"/>
  <c r="C236" i="3"/>
  <c r="B236" i="3"/>
  <c r="J235" i="3"/>
  <c r="I235" i="3"/>
  <c r="F235" i="3"/>
  <c r="E235" i="3"/>
  <c r="C235" i="3"/>
  <c r="B235" i="3"/>
  <c r="J234" i="3"/>
  <c r="I234" i="3"/>
  <c r="C234" i="3"/>
  <c r="B234" i="3"/>
  <c r="J233" i="3"/>
  <c r="I233" i="3"/>
  <c r="C233" i="3"/>
  <c r="B233" i="3"/>
  <c r="J232" i="3"/>
  <c r="I232" i="3"/>
  <c r="C232" i="3"/>
  <c r="B232" i="3"/>
  <c r="E231" i="3"/>
  <c r="C231" i="3"/>
  <c r="B231" i="3"/>
  <c r="J230" i="3"/>
  <c r="I230" i="3"/>
  <c r="C230" i="3"/>
  <c r="B230" i="3"/>
  <c r="J229" i="3"/>
  <c r="I229" i="3"/>
  <c r="C229" i="3"/>
  <c r="B229" i="3"/>
  <c r="J228" i="3"/>
  <c r="F228" i="3"/>
  <c r="E228" i="3"/>
  <c r="C228" i="3"/>
  <c r="B228" i="3"/>
  <c r="J227" i="3"/>
  <c r="I227" i="3"/>
  <c r="E227" i="3"/>
  <c r="D227" i="3"/>
  <c r="C227" i="3"/>
  <c r="B227" i="3"/>
  <c r="F226" i="3"/>
  <c r="E226" i="3"/>
  <c r="D226" i="3"/>
  <c r="C226" i="3"/>
  <c r="B226" i="3"/>
  <c r="J225" i="3"/>
  <c r="I225" i="3"/>
  <c r="F225" i="3"/>
  <c r="C225" i="3"/>
  <c r="B225" i="3"/>
  <c r="J224" i="3"/>
  <c r="I224" i="3"/>
  <c r="C224" i="3"/>
  <c r="B224" i="3"/>
  <c r="J223" i="3"/>
  <c r="I223" i="3"/>
  <c r="F223" i="3"/>
  <c r="E223" i="3"/>
  <c r="D223" i="3"/>
  <c r="C223" i="3"/>
  <c r="B223" i="3"/>
  <c r="J222" i="3"/>
  <c r="F222" i="3"/>
  <c r="C222" i="3"/>
  <c r="B222" i="3"/>
  <c r="F221" i="3"/>
  <c r="E221" i="3"/>
  <c r="C221" i="3"/>
  <c r="B221" i="3"/>
  <c r="J220" i="3"/>
  <c r="I220" i="3"/>
  <c r="F220" i="3"/>
  <c r="E220" i="3"/>
  <c r="C220" i="3"/>
  <c r="B220" i="3"/>
  <c r="J219" i="3"/>
  <c r="C219" i="3"/>
  <c r="B219" i="3"/>
  <c r="J218" i="3"/>
  <c r="F218" i="3"/>
  <c r="E218" i="3"/>
  <c r="D218" i="3"/>
  <c r="C218" i="3"/>
  <c r="B218" i="3"/>
  <c r="J217" i="3"/>
  <c r="I217" i="3"/>
  <c r="F217" i="3"/>
  <c r="C217" i="3"/>
  <c r="B217" i="3"/>
  <c r="I216" i="3"/>
  <c r="C216" i="3"/>
  <c r="B216" i="3"/>
  <c r="J215" i="3"/>
  <c r="I215" i="3"/>
  <c r="F215" i="3"/>
  <c r="C215" i="3"/>
  <c r="B215" i="3"/>
  <c r="E214" i="3"/>
  <c r="D214" i="3"/>
  <c r="C214" i="3"/>
  <c r="B214" i="3"/>
  <c r="J213" i="3"/>
  <c r="I213" i="3"/>
  <c r="C213" i="3"/>
  <c r="B213" i="3"/>
  <c r="J212" i="3"/>
  <c r="I212" i="3"/>
  <c r="C212" i="3"/>
  <c r="B212" i="3"/>
  <c r="J211" i="3"/>
  <c r="F211" i="3"/>
  <c r="E211" i="3"/>
  <c r="D211" i="3"/>
  <c r="C211" i="3"/>
  <c r="B211" i="3"/>
  <c r="J210" i="3"/>
  <c r="F210" i="3"/>
  <c r="E210" i="3"/>
  <c r="C210" i="3"/>
  <c r="B210" i="3"/>
  <c r="F209" i="3"/>
  <c r="E209" i="3"/>
  <c r="D209" i="3"/>
  <c r="C209" i="3"/>
  <c r="B209" i="3"/>
  <c r="J208" i="3"/>
  <c r="I208" i="3"/>
  <c r="F208" i="3"/>
  <c r="E208" i="3"/>
  <c r="D208" i="3"/>
  <c r="C208" i="3"/>
  <c r="B208" i="3"/>
  <c r="J207" i="3"/>
  <c r="C207" i="3"/>
  <c r="B207" i="3"/>
  <c r="J206" i="3"/>
  <c r="I206" i="3"/>
  <c r="F206" i="3"/>
  <c r="E206" i="3"/>
  <c r="C206" i="3"/>
  <c r="B206" i="3"/>
  <c r="J205" i="3"/>
  <c r="I205" i="3"/>
  <c r="F205" i="3"/>
  <c r="E205" i="3"/>
  <c r="C205" i="3"/>
  <c r="B205" i="3"/>
  <c r="E204" i="3"/>
  <c r="C204" i="3"/>
  <c r="B204" i="3"/>
  <c r="J203" i="3"/>
  <c r="I203" i="3"/>
  <c r="C203" i="3"/>
  <c r="B203" i="3"/>
  <c r="J202" i="3"/>
  <c r="I202" i="3"/>
  <c r="C202" i="3"/>
  <c r="B202" i="3"/>
  <c r="J201" i="3"/>
  <c r="I201" i="3"/>
  <c r="E201" i="3"/>
  <c r="C201" i="3"/>
  <c r="B201" i="3"/>
  <c r="J200" i="3"/>
  <c r="I200" i="3"/>
  <c r="C200" i="3"/>
  <c r="B200" i="3"/>
  <c r="F199" i="3"/>
  <c r="E199" i="3"/>
  <c r="D199" i="3"/>
  <c r="C199" i="3"/>
  <c r="B199" i="3"/>
  <c r="J198" i="3"/>
  <c r="F198" i="3"/>
  <c r="C198" i="3"/>
  <c r="B198" i="3"/>
  <c r="J197" i="3"/>
  <c r="D197" i="3"/>
  <c r="C197" i="3"/>
  <c r="B197" i="3"/>
  <c r="J196" i="3"/>
  <c r="I196" i="3"/>
  <c r="F196" i="3"/>
  <c r="E196" i="3"/>
  <c r="D196" i="3"/>
  <c r="C196" i="3"/>
  <c r="B196" i="3"/>
  <c r="J195" i="3"/>
  <c r="I195" i="3"/>
  <c r="F195" i="3"/>
  <c r="C195" i="3"/>
  <c r="B195" i="3"/>
  <c r="I194" i="3"/>
  <c r="F194" i="3"/>
  <c r="C194" i="3"/>
  <c r="B194" i="3"/>
  <c r="J193" i="3"/>
  <c r="I193" i="3"/>
  <c r="F193" i="3"/>
  <c r="C193" i="3"/>
  <c r="B193" i="3"/>
  <c r="C192" i="3"/>
  <c r="B192" i="3"/>
  <c r="J191" i="3"/>
  <c r="F191" i="3"/>
  <c r="C191" i="3"/>
  <c r="B191" i="3"/>
  <c r="J190" i="3"/>
  <c r="I190" i="3"/>
  <c r="C190" i="3"/>
  <c r="B190" i="3"/>
  <c r="J189" i="3"/>
  <c r="F189" i="3"/>
  <c r="E189" i="3"/>
  <c r="C189" i="3"/>
  <c r="B189" i="3"/>
  <c r="J188" i="3"/>
  <c r="I188" i="3"/>
  <c r="E188" i="3"/>
  <c r="D188" i="3"/>
  <c r="C188" i="3"/>
  <c r="B188" i="3"/>
  <c r="F187" i="3"/>
  <c r="E187" i="3"/>
  <c r="D187" i="3"/>
  <c r="C187" i="3"/>
  <c r="B187" i="3"/>
  <c r="J186" i="3"/>
  <c r="I186" i="3"/>
  <c r="F186" i="3"/>
  <c r="D186" i="3"/>
  <c r="C186" i="3"/>
  <c r="B186" i="3"/>
  <c r="J185" i="3"/>
  <c r="I185" i="3"/>
  <c r="C185" i="3"/>
  <c r="B185" i="3"/>
  <c r="J184" i="3"/>
  <c r="I184" i="3"/>
  <c r="F184" i="3"/>
  <c r="E184" i="3"/>
  <c r="C184" i="3"/>
  <c r="B184" i="3"/>
  <c r="J183" i="3"/>
  <c r="I183" i="3"/>
  <c r="E183" i="3"/>
  <c r="D183" i="3"/>
  <c r="C183" i="3"/>
  <c r="B183" i="3"/>
  <c r="C182" i="3"/>
  <c r="B182" i="3"/>
  <c r="J181" i="3"/>
  <c r="I181" i="3"/>
  <c r="C181" i="3"/>
  <c r="B181" i="3"/>
  <c r="J180" i="3"/>
  <c r="C180" i="3"/>
  <c r="B180" i="3"/>
  <c r="J179" i="3"/>
  <c r="I179" i="3"/>
  <c r="C179" i="3"/>
  <c r="B179" i="3"/>
  <c r="J178" i="3"/>
  <c r="I178" i="3"/>
  <c r="C178" i="3"/>
  <c r="B178" i="3"/>
  <c r="F177" i="3"/>
  <c r="C177" i="3"/>
  <c r="B177" i="3"/>
  <c r="J176" i="3"/>
  <c r="I176" i="3"/>
  <c r="F176" i="3"/>
  <c r="E176" i="3"/>
  <c r="D176" i="3"/>
  <c r="C176" i="3"/>
  <c r="B176" i="3"/>
  <c r="J175" i="3"/>
  <c r="D175" i="3"/>
  <c r="C175" i="3"/>
  <c r="B175" i="3"/>
  <c r="J174" i="3"/>
  <c r="I174" i="3"/>
  <c r="F174" i="3"/>
  <c r="D174" i="3"/>
  <c r="C174" i="3"/>
  <c r="B174" i="3"/>
  <c r="J173" i="3"/>
  <c r="I173" i="3"/>
  <c r="F173" i="3"/>
  <c r="C173" i="3"/>
  <c r="B173" i="3"/>
  <c r="I172" i="3"/>
  <c r="F172" i="3"/>
  <c r="C172" i="3"/>
  <c r="B172" i="3"/>
  <c r="J171" i="3"/>
  <c r="F171" i="3"/>
  <c r="E171" i="3"/>
  <c r="D171" i="3"/>
  <c r="C171" i="3"/>
  <c r="B171" i="3"/>
  <c r="C170" i="3"/>
  <c r="B170" i="3"/>
  <c r="J169" i="3"/>
  <c r="I169" i="3"/>
  <c r="F169" i="3"/>
  <c r="C169" i="3"/>
  <c r="B169" i="3"/>
  <c r="J168" i="3"/>
  <c r="C168" i="3"/>
  <c r="B168" i="3"/>
  <c r="J167" i="3"/>
  <c r="I167" i="3"/>
  <c r="E167" i="3"/>
  <c r="D167" i="3"/>
  <c r="C167" i="3"/>
  <c r="B167" i="3"/>
  <c r="J166" i="3"/>
  <c r="I166" i="3"/>
  <c r="C166" i="3"/>
  <c r="B166" i="3"/>
  <c r="F165" i="3"/>
  <c r="D165" i="3"/>
  <c r="C165" i="3"/>
  <c r="B165" i="3"/>
  <c r="J164" i="3"/>
  <c r="I164" i="3"/>
  <c r="F164" i="3"/>
  <c r="E164" i="3"/>
  <c r="D164" i="3"/>
  <c r="C164" i="3"/>
  <c r="B164" i="3"/>
  <c r="J163" i="3"/>
  <c r="I163" i="3"/>
  <c r="C163" i="3"/>
  <c r="B163" i="3"/>
  <c r="J162" i="3"/>
  <c r="I162" i="3"/>
  <c r="E162" i="3"/>
  <c r="D162" i="3"/>
  <c r="C162" i="3"/>
  <c r="B162" i="3"/>
  <c r="J161" i="3"/>
  <c r="F161" i="3"/>
  <c r="E161" i="3"/>
  <c r="D161" i="3"/>
  <c r="C161" i="3"/>
  <c r="B161" i="3"/>
  <c r="C160" i="3"/>
  <c r="B160" i="3"/>
  <c r="J159" i="3"/>
  <c r="F159" i="3"/>
  <c r="E159" i="3"/>
  <c r="D159" i="3"/>
  <c r="C159" i="3"/>
  <c r="B159" i="3"/>
  <c r="J158" i="3"/>
  <c r="C158" i="3"/>
  <c r="B158" i="3"/>
  <c r="J157" i="3"/>
  <c r="I157" i="3"/>
  <c r="C157" i="3"/>
  <c r="B157" i="3"/>
  <c r="J156" i="3"/>
  <c r="I156" i="3"/>
  <c r="F156" i="3"/>
  <c r="E156" i="3"/>
  <c r="C156" i="3"/>
  <c r="B156" i="3"/>
  <c r="F155" i="3"/>
  <c r="E155" i="3"/>
  <c r="D155" i="3"/>
  <c r="C155" i="3"/>
  <c r="B155" i="3"/>
  <c r="J154" i="3"/>
  <c r="I154" i="3"/>
  <c r="C154" i="3"/>
  <c r="B154" i="3"/>
  <c r="J153" i="3"/>
  <c r="D153" i="3"/>
  <c r="C153" i="3"/>
  <c r="B153" i="3"/>
  <c r="J152" i="3"/>
  <c r="I152" i="3"/>
  <c r="F152" i="3"/>
  <c r="E152" i="3"/>
  <c r="D152" i="3"/>
  <c r="C152" i="3"/>
  <c r="B152" i="3"/>
  <c r="J151" i="3"/>
  <c r="I151" i="3"/>
  <c r="C151" i="3"/>
  <c r="B151" i="3"/>
  <c r="F150" i="3"/>
  <c r="E150" i="3"/>
  <c r="D150" i="3"/>
  <c r="C150" i="3"/>
  <c r="B150" i="3"/>
  <c r="J149" i="3"/>
  <c r="F149" i="3"/>
  <c r="E149" i="3"/>
  <c r="D149" i="3"/>
  <c r="C149" i="3"/>
  <c r="B149" i="3"/>
  <c r="C148" i="3"/>
  <c r="B148" i="3"/>
  <c r="J147" i="3"/>
  <c r="F147" i="3"/>
  <c r="E147" i="3"/>
  <c r="D147" i="3"/>
  <c r="C147" i="3"/>
  <c r="B147" i="3"/>
  <c r="J146" i="3"/>
  <c r="I146" i="3"/>
  <c r="C146" i="3"/>
  <c r="B146" i="3"/>
  <c r="J145" i="3"/>
  <c r="I145" i="3"/>
  <c r="C145" i="3"/>
  <c r="B145" i="3"/>
  <c r="J144" i="3"/>
  <c r="I144" i="3"/>
  <c r="F144" i="3"/>
  <c r="E144" i="3"/>
  <c r="D144" i="3"/>
  <c r="C144" i="3"/>
  <c r="B144" i="3"/>
  <c r="F143" i="3"/>
  <c r="E143" i="3"/>
  <c r="D143" i="3"/>
  <c r="C143" i="3"/>
  <c r="B143" i="3"/>
  <c r="J142" i="3"/>
  <c r="I142" i="3"/>
  <c r="C142" i="3"/>
  <c r="B142" i="3"/>
  <c r="J141" i="3"/>
  <c r="C141" i="3"/>
  <c r="B141" i="3"/>
  <c r="J140" i="3"/>
  <c r="F140" i="3"/>
  <c r="E140" i="3"/>
  <c r="D140" i="3"/>
  <c r="C140" i="3"/>
  <c r="B140" i="3"/>
  <c r="J139" i="3"/>
  <c r="C139" i="3"/>
  <c r="B139" i="3"/>
  <c r="F138" i="3"/>
  <c r="E138" i="3"/>
  <c r="D138" i="3"/>
  <c r="C138" i="3"/>
  <c r="B138" i="3"/>
  <c r="J137" i="3"/>
  <c r="F137" i="3"/>
  <c r="E137" i="3"/>
  <c r="D137" i="3"/>
  <c r="C137" i="3"/>
  <c r="B137" i="3"/>
  <c r="J136" i="3"/>
  <c r="I136" i="3"/>
  <c r="C136" i="3"/>
  <c r="B136" i="3"/>
  <c r="J135" i="3"/>
  <c r="I135" i="3"/>
  <c r="F135" i="3"/>
  <c r="E135" i="3"/>
  <c r="D135" i="3"/>
  <c r="C135" i="3"/>
  <c r="B135" i="3"/>
  <c r="J134" i="3"/>
  <c r="I134" i="3"/>
  <c r="F134" i="3"/>
  <c r="E134" i="3"/>
  <c r="C134" i="3"/>
  <c r="B134" i="3"/>
  <c r="C133" i="3"/>
  <c r="B133" i="3"/>
  <c r="J132" i="3"/>
  <c r="F132" i="3"/>
  <c r="E132" i="3"/>
  <c r="C132" i="3"/>
  <c r="B132" i="3"/>
  <c r="J131" i="3"/>
  <c r="D131" i="3"/>
  <c r="C131" i="3"/>
  <c r="B131" i="3"/>
  <c r="J130" i="3"/>
  <c r="I130" i="3"/>
  <c r="C130" i="3"/>
  <c r="B130" i="3"/>
  <c r="J129" i="3"/>
  <c r="F129" i="3"/>
  <c r="C129" i="3"/>
  <c r="B129" i="3"/>
  <c r="F128" i="3"/>
  <c r="E128" i="3"/>
  <c r="D128" i="3"/>
  <c r="C128" i="3"/>
  <c r="B128" i="3"/>
  <c r="J127" i="3"/>
  <c r="C127" i="3"/>
  <c r="B127" i="3"/>
  <c r="E126" i="3"/>
  <c r="D126" i="3"/>
  <c r="C126" i="3"/>
  <c r="B126" i="3"/>
  <c r="J125" i="3"/>
  <c r="I125" i="3"/>
  <c r="F125" i="3"/>
  <c r="E125" i="3"/>
  <c r="D125" i="3"/>
  <c r="C125" i="3"/>
  <c r="B125" i="3"/>
  <c r="J124" i="3"/>
  <c r="I124" i="3"/>
  <c r="C124" i="3"/>
  <c r="B124" i="3"/>
  <c r="J123" i="3"/>
  <c r="I123" i="3"/>
  <c r="F123" i="3"/>
  <c r="E123" i="3"/>
  <c r="D123" i="3"/>
  <c r="C123" i="3"/>
  <c r="B123" i="3"/>
  <c r="J122" i="3"/>
  <c r="I122" i="3"/>
  <c r="F122" i="3"/>
  <c r="E122" i="3"/>
  <c r="D122" i="3"/>
  <c r="C122" i="3"/>
  <c r="B122" i="3"/>
  <c r="C121" i="3"/>
  <c r="B121" i="3"/>
  <c r="J120" i="3"/>
  <c r="F120" i="3"/>
  <c r="E120" i="3"/>
  <c r="C120" i="3"/>
  <c r="B120" i="3"/>
  <c r="J119" i="3"/>
  <c r="I119" i="3"/>
  <c r="C119" i="3"/>
  <c r="B119" i="3"/>
  <c r="J118" i="3"/>
  <c r="C118" i="3"/>
  <c r="B118" i="3"/>
  <c r="J117" i="3"/>
  <c r="F117" i="3"/>
  <c r="C117" i="3"/>
  <c r="B117" i="3"/>
  <c r="F116" i="3"/>
  <c r="E116" i="3"/>
  <c r="D116" i="3"/>
  <c r="C116" i="3"/>
  <c r="B116" i="3"/>
  <c r="J115" i="3"/>
  <c r="I115" i="3"/>
  <c r="E115" i="3"/>
  <c r="C115" i="3"/>
  <c r="B115" i="3"/>
  <c r="J114" i="3"/>
  <c r="I114" i="3"/>
  <c r="C114" i="3"/>
  <c r="B114" i="3"/>
  <c r="J113" i="3"/>
  <c r="I113" i="3"/>
  <c r="F113" i="3"/>
  <c r="E113" i="3"/>
  <c r="D113" i="3"/>
  <c r="C113" i="3"/>
  <c r="B113" i="3"/>
  <c r="J112" i="3"/>
  <c r="I112" i="3"/>
  <c r="F112" i="3"/>
  <c r="E112" i="3"/>
  <c r="C112" i="3"/>
  <c r="B112" i="3"/>
  <c r="F111" i="3"/>
  <c r="E111" i="3"/>
  <c r="C111" i="3"/>
  <c r="B111" i="3"/>
  <c r="J110" i="3"/>
  <c r="I110" i="3"/>
  <c r="F110" i="3"/>
  <c r="E110" i="3"/>
  <c r="C110" i="3"/>
  <c r="B110" i="3"/>
  <c r="J109" i="3"/>
  <c r="C109" i="3"/>
  <c r="B109" i="3"/>
  <c r="J108" i="3"/>
  <c r="F108" i="3"/>
  <c r="E108" i="3"/>
  <c r="C108" i="3"/>
  <c r="B108" i="3"/>
  <c r="J107" i="3"/>
  <c r="I107" i="3"/>
  <c r="F107" i="3"/>
  <c r="C107" i="3"/>
  <c r="B107" i="3"/>
  <c r="I106" i="3"/>
  <c r="E106" i="3"/>
  <c r="C106" i="3"/>
  <c r="B106" i="3"/>
  <c r="J105" i="3"/>
  <c r="I105" i="3"/>
  <c r="D105" i="3"/>
  <c r="C105" i="3"/>
  <c r="B105" i="3"/>
  <c r="E104" i="3"/>
  <c r="D104" i="3"/>
  <c r="C104" i="3"/>
  <c r="B104" i="3"/>
  <c r="J103" i="3"/>
  <c r="I103" i="3"/>
  <c r="E103" i="3"/>
  <c r="C103" i="3"/>
  <c r="B103" i="3"/>
  <c r="J102" i="3"/>
  <c r="I102" i="3"/>
  <c r="C102" i="3"/>
  <c r="B102" i="3"/>
  <c r="J101" i="3"/>
  <c r="I101" i="3"/>
  <c r="F101" i="3"/>
  <c r="E101" i="3"/>
  <c r="D101" i="3"/>
  <c r="C101" i="3"/>
  <c r="B101" i="3"/>
  <c r="J100" i="3"/>
  <c r="F100" i="3"/>
  <c r="C100" i="3"/>
  <c r="B100" i="3"/>
  <c r="F99" i="3"/>
  <c r="E99" i="3"/>
  <c r="C99" i="3"/>
  <c r="B99" i="3"/>
  <c r="J98" i="3"/>
  <c r="I98" i="3"/>
  <c r="F98" i="3"/>
  <c r="E98" i="3"/>
  <c r="C98" i="3"/>
  <c r="B98" i="3"/>
  <c r="J97" i="3"/>
  <c r="C97" i="3"/>
  <c r="B97" i="3"/>
  <c r="J96" i="3"/>
  <c r="I96" i="3"/>
  <c r="F96" i="3"/>
  <c r="C96" i="3"/>
  <c r="B96" i="3"/>
  <c r="J95" i="3"/>
  <c r="I95" i="3"/>
  <c r="H95" i="3"/>
  <c r="F95" i="3"/>
  <c r="C95" i="3"/>
  <c r="B95" i="3"/>
  <c r="F94" i="3"/>
  <c r="E94" i="3"/>
  <c r="C94" i="3"/>
  <c r="B94" i="3"/>
  <c r="J93" i="3"/>
  <c r="I93" i="3"/>
  <c r="E93" i="3"/>
  <c r="D93" i="3"/>
  <c r="C93" i="3"/>
  <c r="B93" i="3"/>
  <c r="J92" i="3"/>
  <c r="I92" i="3"/>
  <c r="C92" i="3"/>
  <c r="B92" i="3"/>
  <c r="J91" i="3"/>
  <c r="F91" i="3"/>
  <c r="E91" i="3"/>
  <c r="C91" i="3"/>
  <c r="B91" i="3"/>
  <c r="J90" i="3"/>
  <c r="I90" i="3"/>
  <c r="F90" i="3"/>
  <c r="E90" i="3"/>
  <c r="C90" i="3"/>
  <c r="B90" i="3"/>
  <c r="F89" i="3"/>
  <c r="E89" i="3"/>
  <c r="C89" i="3"/>
  <c r="B89" i="3"/>
  <c r="J88" i="3"/>
  <c r="F88" i="3"/>
  <c r="E88" i="3"/>
  <c r="D88" i="3"/>
  <c r="C88" i="3"/>
  <c r="B88" i="3"/>
  <c r="J87" i="3"/>
  <c r="C87" i="3"/>
  <c r="B87" i="3"/>
  <c r="J86" i="3"/>
  <c r="I86" i="3"/>
  <c r="F86" i="3"/>
  <c r="E86" i="3"/>
  <c r="C86" i="3"/>
  <c r="B86" i="3"/>
  <c r="J85" i="3"/>
  <c r="I85" i="3"/>
  <c r="C85" i="3"/>
  <c r="B85" i="3"/>
  <c r="I84" i="3"/>
  <c r="E84" i="3"/>
  <c r="D84" i="3"/>
  <c r="C84" i="3"/>
  <c r="B84" i="3"/>
  <c r="J83" i="3"/>
  <c r="I83" i="3"/>
  <c r="H83" i="3"/>
  <c r="C83" i="3"/>
  <c r="B83" i="3"/>
  <c r="E82" i="3"/>
  <c r="C82" i="3"/>
  <c r="B82" i="3"/>
  <c r="J81" i="3"/>
  <c r="I81" i="3"/>
  <c r="F81" i="3"/>
  <c r="C81" i="3"/>
  <c r="B81" i="3"/>
  <c r="J80" i="3"/>
  <c r="I80" i="3"/>
  <c r="C80" i="3"/>
  <c r="B80" i="3"/>
  <c r="J79" i="3"/>
  <c r="F79" i="3"/>
  <c r="C79" i="3"/>
  <c r="B79" i="3"/>
  <c r="J78" i="3"/>
  <c r="I78" i="3"/>
  <c r="F78" i="3"/>
  <c r="E78" i="3"/>
  <c r="D78" i="3"/>
  <c r="C78" i="3"/>
  <c r="B78" i="3"/>
  <c r="F77" i="3"/>
  <c r="E77" i="3"/>
  <c r="C77" i="3"/>
  <c r="B77" i="3"/>
  <c r="J76" i="3"/>
  <c r="I76" i="3"/>
  <c r="E76" i="3"/>
  <c r="D76" i="3"/>
  <c r="C76" i="3"/>
  <c r="B76" i="3"/>
  <c r="J75" i="3"/>
  <c r="I75" i="3"/>
  <c r="C75" i="3"/>
  <c r="B75" i="3"/>
  <c r="J74" i="3"/>
  <c r="I74" i="3"/>
  <c r="F74" i="3"/>
  <c r="C74" i="3"/>
  <c r="B74" i="3"/>
  <c r="J73" i="3"/>
  <c r="I73" i="3"/>
  <c r="F73" i="3"/>
  <c r="E73" i="3"/>
  <c r="D73" i="3"/>
  <c r="C73" i="3"/>
  <c r="B73" i="3"/>
  <c r="F72" i="3"/>
  <c r="E72" i="3"/>
  <c r="D72" i="3"/>
  <c r="C72" i="3"/>
  <c r="B72" i="3"/>
  <c r="J71" i="3"/>
  <c r="I71" i="3"/>
  <c r="H71" i="3"/>
  <c r="C71" i="3"/>
  <c r="B71" i="3"/>
  <c r="J70" i="3"/>
  <c r="C70" i="3"/>
  <c r="B70" i="3"/>
  <c r="J69" i="3"/>
  <c r="I69" i="3"/>
  <c r="F69" i="3"/>
  <c r="E69" i="3"/>
  <c r="D69" i="3"/>
  <c r="C69" i="3"/>
  <c r="B69" i="3"/>
  <c r="J68" i="3"/>
  <c r="I68" i="3"/>
  <c r="C68" i="3"/>
  <c r="B68" i="3"/>
  <c r="F67" i="3"/>
  <c r="E67" i="3"/>
  <c r="D67" i="3"/>
  <c r="C67" i="3"/>
  <c r="B67" i="3"/>
  <c r="J66" i="3"/>
  <c r="I66" i="3"/>
  <c r="F66" i="3"/>
  <c r="E66" i="3"/>
  <c r="D66" i="3"/>
  <c r="C66" i="3"/>
  <c r="B66" i="3"/>
  <c r="J65" i="3"/>
  <c r="C65" i="3"/>
  <c r="B65" i="3"/>
  <c r="J64" i="3"/>
  <c r="I64" i="3"/>
  <c r="E64" i="3"/>
  <c r="D64" i="3"/>
  <c r="C64" i="3"/>
  <c r="B64" i="3"/>
  <c r="J63" i="3"/>
  <c r="I63" i="3"/>
  <c r="F63" i="3"/>
  <c r="C63" i="3"/>
  <c r="B63" i="3"/>
  <c r="I62" i="3"/>
  <c r="C62" i="3"/>
  <c r="B62" i="3"/>
  <c r="J61" i="3"/>
  <c r="F61" i="3"/>
  <c r="E61" i="3"/>
  <c r="D61" i="3"/>
  <c r="C61" i="3"/>
  <c r="B61" i="3"/>
  <c r="C60" i="3"/>
  <c r="B60" i="3"/>
  <c r="J59" i="3"/>
  <c r="I59" i="3"/>
  <c r="C59" i="3"/>
  <c r="B59" i="3"/>
  <c r="J58" i="3"/>
  <c r="C58" i="3"/>
  <c r="B58" i="3"/>
  <c r="J57" i="3"/>
  <c r="I57" i="3"/>
  <c r="F57" i="3"/>
  <c r="E57" i="3"/>
  <c r="D57" i="3"/>
  <c r="C57" i="3"/>
  <c r="B57" i="3"/>
  <c r="J56" i="3"/>
  <c r="I56" i="3"/>
  <c r="C56" i="3"/>
  <c r="B56" i="3"/>
  <c r="E55" i="3"/>
  <c r="D55" i="3"/>
  <c r="C55" i="3"/>
  <c r="B55" i="3"/>
  <c r="J54" i="3"/>
  <c r="I54" i="3"/>
  <c r="F54" i="3"/>
  <c r="E54" i="3"/>
  <c r="D54" i="3"/>
  <c r="C54" i="3"/>
  <c r="B54" i="3"/>
  <c r="J53" i="3"/>
  <c r="I53" i="3"/>
  <c r="C53" i="3"/>
  <c r="B53" i="3"/>
  <c r="J52" i="3"/>
  <c r="F52" i="3"/>
  <c r="E52" i="3"/>
  <c r="D52" i="3"/>
  <c r="C52" i="3"/>
  <c r="B52" i="3"/>
  <c r="J51" i="3"/>
  <c r="F51" i="3"/>
  <c r="E51" i="3"/>
  <c r="D51" i="3"/>
  <c r="C51" i="3"/>
  <c r="B51" i="3"/>
  <c r="C50" i="3"/>
  <c r="B50" i="3"/>
  <c r="J49" i="3"/>
  <c r="F49" i="3"/>
  <c r="E49" i="3"/>
  <c r="D49" i="3"/>
  <c r="C49" i="3"/>
  <c r="B49" i="3"/>
  <c r="J48" i="3"/>
  <c r="I48" i="3"/>
  <c r="C48" i="3"/>
  <c r="B48" i="3"/>
  <c r="J47" i="3"/>
  <c r="I47" i="3"/>
  <c r="C47" i="3"/>
  <c r="B47" i="3"/>
  <c r="J46" i="3"/>
  <c r="I46" i="3"/>
  <c r="F46" i="3"/>
  <c r="E46" i="3"/>
  <c r="C46" i="3"/>
  <c r="B46" i="3"/>
  <c r="F45" i="3"/>
  <c r="E45" i="3"/>
  <c r="D45" i="3"/>
  <c r="C45" i="3"/>
  <c r="B45" i="3"/>
  <c r="J44" i="3"/>
  <c r="I44" i="3"/>
  <c r="C44" i="3"/>
  <c r="B44" i="3"/>
  <c r="J43" i="3"/>
  <c r="D43" i="3"/>
  <c r="C43" i="3"/>
  <c r="B43" i="3"/>
  <c r="J42" i="3"/>
  <c r="F42" i="3"/>
  <c r="E42" i="3"/>
  <c r="D42" i="3"/>
  <c r="C42" i="3"/>
  <c r="B42" i="3"/>
  <c r="J41" i="3"/>
  <c r="C41" i="3"/>
  <c r="B41" i="3"/>
  <c r="F40" i="3"/>
  <c r="E40" i="3"/>
  <c r="D40" i="3"/>
  <c r="C40" i="3"/>
  <c r="B40" i="3"/>
  <c r="J39" i="3"/>
  <c r="F39" i="3"/>
  <c r="E39" i="3"/>
  <c r="D39" i="3"/>
  <c r="C39" i="3"/>
  <c r="B39" i="3"/>
  <c r="C38" i="3"/>
  <c r="B38" i="3"/>
  <c r="J37" i="3"/>
  <c r="F37" i="3"/>
  <c r="E37" i="3"/>
  <c r="D37" i="3"/>
  <c r="C37" i="3"/>
  <c r="B37" i="3"/>
  <c r="J36" i="3"/>
  <c r="I36" i="3"/>
  <c r="C36" i="3"/>
  <c r="B36" i="3"/>
  <c r="J35" i="3"/>
  <c r="I35" i="3"/>
  <c r="C35" i="3"/>
  <c r="B35" i="3"/>
  <c r="J34" i="3"/>
  <c r="I34" i="3"/>
  <c r="F34" i="3"/>
  <c r="E34" i="3"/>
  <c r="C34" i="3"/>
  <c r="B34" i="3"/>
  <c r="F33" i="3"/>
  <c r="E33" i="3"/>
  <c r="D33" i="3"/>
  <c r="C33" i="3"/>
  <c r="B33" i="3"/>
  <c r="J32" i="3"/>
  <c r="C32" i="3"/>
  <c r="B32" i="3"/>
  <c r="J31" i="3"/>
  <c r="I31" i="3"/>
  <c r="C31" i="3"/>
  <c r="B31" i="3"/>
  <c r="J30" i="3"/>
  <c r="F30" i="3"/>
  <c r="E30" i="3"/>
  <c r="D30" i="3"/>
  <c r="C30" i="3"/>
  <c r="B30" i="3"/>
  <c r="J29" i="3"/>
  <c r="C29" i="3"/>
  <c r="B29" i="3"/>
  <c r="F28" i="3"/>
  <c r="E28" i="3"/>
  <c r="D28" i="3"/>
  <c r="C28" i="3"/>
  <c r="B28" i="3"/>
  <c r="J27" i="3"/>
  <c r="I27" i="3"/>
  <c r="F27" i="3"/>
  <c r="E27" i="3"/>
  <c r="D27" i="3"/>
  <c r="C27" i="3"/>
  <c r="B27" i="3"/>
  <c r="J26" i="3"/>
  <c r="I26" i="3"/>
  <c r="C26" i="3"/>
  <c r="B26" i="3"/>
  <c r="J25" i="3"/>
  <c r="I25" i="3"/>
  <c r="F25" i="3"/>
  <c r="E25" i="3"/>
  <c r="D25" i="3"/>
  <c r="C25" i="3"/>
  <c r="B25" i="3"/>
  <c r="J24" i="3"/>
  <c r="I24" i="3"/>
  <c r="F24" i="3"/>
  <c r="E24" i="3"/>
  <c r="C24" i="3"/>
  <c r="B24" i="3"/>
  <c r="C23" i="3"/>
  <c r="B23" i="3"/>
  <c r="J22" i="3"/>
  <c r="I22" i="3"/>
  <c r="F22" i="3"/>
  <c r="E22" i="3"/>
  <c r="C22" i="3"/>
  <c r="B22" i="3"/>
  <c r="J21" i="3"/>
  <c r="D21" i="3"/>
  <c r="C21" i="3"/>
  <c r="B21" i="3"/>
  <c r="J20" i="3"/>
  <c r="C20" i="3"/>
  <c r="B20" i="3"/>
  <c r="J19" i="3"/>
  <c r="I19" i="3"/>
  <c r="F19" i="3"/>
  <c r="C19" i="3"/>
  <c r="B19" i="3"/>
  <c r="H18" i="3"/>
  <c r="F18" i="3"/>
  <c r="E18" i="3"/>
  <c r="D18" i="3"/>
  <c r="C18" i="3"/>
  <c r="B18" i="3"/>
  <c r="J17" i="3"/>
  <c r="F17" i="3"/>
  <c r="E17" i="3"/>
  <c r="C17" i="3"/>
  <c r="B17" i="3"/>
  <c r="E11" i="3"/>
  <c r="D11" i="3"/>
  <c r="J258" i="3" s="1"/>
  <c r="C11" i="3"/>
  <c r="E10" i="3"/>
  <c r="D10" i="3"/>
  <c r="I263" i="3" s="1"/>
  <c r="C10" i="3"/>
  <c r="I257" i="3" s="1"/>
  <c r="E9" i="3"/>
  <c r="D9" i="3"/>
  <c r="H232" i="3" s="1"/>
  <c r="C9" i="3"/>
  <c r="E8" i="3"/>
  <c r="D8" i="3"/>
  <c r="G134" i="3" s="1"/>
  <c r="C8" i="3"/>
  <c r="E7" i="3"/>
  <c r="F265" i="3" s="1"/>
  <c r="D7" i="3"/>
  <c r="F250" i="3" s="1"/>
  <c r="C7" i="3"/>
  <c r="E6" i="3"/>
  <c r="E96" i="3" s="1"/>
  <c r="D6" i="3"/>
  <c r="E225" i="3" s="1"/>
  <c r="C6" i="3"/>
  <c r="E29" i="3" s="1"/>
  <c r="E5" i="3"/>
  <c r="D201" i="3" s="1"/>
  <c r="D5" i="3"/>
  <c r="D249" i="3" s="1"/>
  <c r="C5" i="3"/>
  <c r="D82" i="3" s="1"/>
  <c r="H24" i="3" l="1"/>
  <c r="H59" i="3"/>
  <c r="H68" i="3"/>
  <c r="H80" i="3"/>
  <c r="H178" i="3"/>
  <c r="G223" i="3"/>
  <c r="H227" i="3"/>
  <c r="G254" i="3"/>
  <c r="G84" i="3"/>
  <c r="G203" i="3"/>
  <c r="G215" i="3"/>
  <c r="H223" i="3"/>
  <c r="G232" i="3"/>
  <c r="H254" i="3"/>
  <c r="H84" i="3"/>
  <c r="G96" i="3"/>
  <c r="H203" i="3"/>
  <c r="G266" i="3"/>
  <c r="H246" i="3"/>
  <c r="H224" i="3"/>
  <c r="H202" i="3"/>
  <c r="H180" i="3"/>
  <c r="H158" i="3"/>
  <c r="H136" i="3"/>
  <c r="H114" i="3"/>
  <c r="H92" i="3"/>
  <c r="H70" i="3"/>
  <c r="H48" i="3"/>
  <c r="H26" i="3"/>
  <c r="H263" i="3"/>
  <c r="H241" i="3"/>
  <c r="H219" i="3"/>
  <c r="H197" i="3"/>
  <c r="H175" i="3"/>
  <c r="H153" i="3"/>
  <c r="H131" i="3"/>
  <c r="H109" i="3"/>
  <c r="H87" i="3"/>
  <c r="H65" i="3"/>
  <c r="H43" i="3"/>
  <c r="H21" i="3"/>
  <c r="H243" i="3"/>
  <c r="H221" i="3"/>
  <c r="H258" i="3"/>
  <c r="H236" i="3"/>
  <c r="H214" i="3"/>
  <c r="H192" i="3"/>
  <c r="H170" i="3"/>
  <c r="H148" i="3"/>
  <c r="H126" i="3"/>
  <c r="H104" i="3"/>
  <c r="H82" i="3"/>
  <c r="H60" i="3"/>
  <c r="H38" i="3"/>
  <c r="H253" i="3"/>
  <c r="H231" i="3"/>
  <c r="H209" i="3"/>
  <c r="H187" i="3"/>
  <c r="H165" i="3"/>
  <c r="H143" i="3"/>
  <c r="H121" i="3"/>
  <c r="H99" i="3"/>
  <c r="H77" i="3"/>
  <c r="H55" i="3"/>
  <c r="H33" i="3"/>
  <c r="H248" i="3"/>
  <c r="H226" i="3"/>
  <c r="H204" i="3"/>
  <c r="H182" i="3"/>
  <c r="H160" i="3"/>
  <c r="H138" i="3"/>
  <c r="H116" i="3"/>
  <c r="H94" i="3"/>
  <c r="H72" i="3"/>
  <c r="H50" i="3"/>
  <c r="H28" i="3"/>
  <c r="H265" i="3"/>
  <c r="H250" i="3"/>
  <c r="H163" i="3"/>
  <c r="H154" i="3"/>
  <c r="H151" i="3"/>
  <c r="H142" i="3"/>
  <c r="H133" i="3"/>
  <c r="H130" i="3"/>
  <c r="H56" i="3"/>
  <c r="H35" i="3"/>
  <c r="H85" i="3"/>
  <c r="H206" i="3"/>
  <c r="H247" i="3"/>
  <c r="H244" i="3"/>
  <c r="H216" i="3"/>
  <c r="H213" i="3"/>
  <c r="H139" i="3"/>
  <c r="H118" i="3"/>
  <c r="H53" i="3"/>
  <c r="H44" i="3"/>
  <c r="H41" i="3"/>
  <c r="H32" i="3"/>
  <c r="H23" i="3"/>
  <c r="H20" i="3"/>
  <c r="H240" i="3"/>
  <c r="H234" i="3"/>
  <c r="H171" i="3"/>
  <c r="H52" i="3"/>
  <c r="H132" i="3"/>
  <c r="H129" i="3"/>
  <c r="H108" i="3"/>
  <c r="H19" i="3"/>
  <c r="H233" i="3"/>
  <c r="H262" i="3"/>
  <c r="H256" i="3"/>
  <c r="H201" i="3"/>
  <c r="H127" i="3"/>
  <c r="H124" i="3"/>
  <c r="H106" i="3"/>
  <c r="H103" i="3"/>
  <c r="H29" i="3"/>
  <c r="H183" i="3"/>
  <c r="H162" i="3"/>
  <c r="H67" i="3"/>
  <c r="H237" i="3"/>
  <c r="H168" i="3"/>
  <c r="H150" i="3"/>
  <c r="H73" i="3"/>
  <c r="H144" i="3"/>
  <c r="H49" i="3"/>
  <c r="H141" i="3"/>
  <c r="H212" i="3"/>
  <c r="H22" i="3"/>
  <c r="H230" i="3"/>
  <c r="H259" i="3"/>
  <c r="H228" i="3"/>
  <c r="H210" i="3"/>
  <c r="H189" i="3"/>
  <c r="H115" i="3"/>
  <c r="H112" i="3"/>
  <c r="H91" i="3"/>
  <c r="H17" i="3"/>
  <c r="H97" i="3"/>
  <c r="H88" i="3"/>
  <c r="H147" i="3"/>
  <c r="H218" i="3"/>
  <c r="H46" i="3"/>
  <c r="H25" i="3"/>
  <c r="H249" i="3"/>
  <c r="H120" i="3"/>
  <c r="H215" i="3"/>
  <c r="H191" i="3"/>
  <c r="H96" i="3"/>
  <c r="H31" i="3"/>
  <c r="H225" i="3"/>
  <c r="H222" i="3"/>
  <c r="H207" i="3"/>
  <c r="H198" i="3"/>
  <c r="H195" i="3"/>
  <c r="H186" i="3"/>
  <c r="H177" i="3"/>
  <c r="H174" i="3"/>
  <c r="H100" i="3"/>
  <c r="H79" i="3"/>
  <c r="H76" i="3"/>
  <c r="H64" i="3"/>
  <c r="H111" i="3"/>
  <c r="H34" i="3"/>
  <c r="H194" i="3"/>
  <c r="H117" i="3"/>
  <c r="H261" i="3"/>
  <c r="H159" i="3"/>
  <c r="H156" i="3"/>
  <c r="H135" i="3"/>
  <c r="H61" i="3"/>
  <c r="H58" i="3"/>
  <c r="H40" i="3"/>
  <c r="H37" i="3"/>
  <c r="H255" i="3"/>
  <c r="H252" i="3"/>
  <c r="H123" i="3"/>
  <c r="H185" i="3"/>
  <c r="H176" i="3"/>
  <c r="H173" i="3"/>
  <c r="H164" i="3"/>
  <c r="H155" i="3"/>
  <c r="H152" i="3"/>
  <c r="H78" i="3"/>
  <c r="H57" i="3"/>
  <c r="H257" i="3"/>
  <c r="H242" i="3"/>
  <c r="H149" i="3"/>
  <c r="H146" i="3"/>
  <c r="H128" i="3"/>
  <c r="H51" i="3"/>
  <c r="H30" i="3"/>
  <c r="H137" i="3"/>
  <c r="H134" i="3"/>
  <c r="H113" i="3"/>
  <c r="H245" i="3"/>
  <c r="H239" i="3"/>
  <c r="H161" i="3"/>
  <c r="H140" i="3"/>
  <c r="H75" i="3"/>
  <c r="H66" i="3"/>
  <c r="H63" i="3"/>
  <c r="H54" i="3"/>
  <c r="H45" i="3"/>
  <c r="H42" i="3"/>
  <c r="H125" i="3"/>
  <c r="H260" i="3"/>
  <c r="H211" i="3"/>
  <c r="G27" i="3"/>
  <c r="H107" i="3"/>
  <c r="G190" i="3"/>
  <c r="G107" i="3"/>
  <c r="G160" i="3"/>
  <c r="H36" i="3"/>
  <c r="G19" i="3"/>
  <c r="G251" i="3"/>
  <c r="G229" i="3"/>
  <c r="G207" i="3"/>
  <c r="G185" i="3"/>
  <c r="G163" i="3"/>
  <c r="G141" i="3"/>
  <c r="G119" i="3"/>
  <c r="G97" i="3"/>
  <c r="G75" i="3"/>
  <c r="G53" i="3"/>
  <c r="G31" i="3"/>
  <c r="G248" i="3"/>
  <c r="G226" i="3"/>
  <c r="G246" i="3"/>
  <c r="G224" i="3"/>
  <c r="G202" i="3"/>
  <c r="G180" i="3"/>
  <c r="G158" i="3"/>
  <c r="G136" i="3"/>
  <c r="G114" i="3"/>
  <c r="G92" i="3"/>
  <c r="G70" i="3"/>
  <c r="G48" i="3"/>
  <c r="G26" i="3"/>
  <c r="G263" i="3"/>
  <c r="G241" i="3"/>
  <c r="G219" i="3"/>
  <c r="G197" i="3"/>
  <c r="G175" i="3"/>
  <c r="G153" i="3"/>
  <c r="G131" i="3"/>
  <c r="G109" i="3"/>
  <c r="G87" i="3"/>
  <c r="G65" i="3"/>
  <c r="G43" i="3"/>
  <c r="G21" i="3"/>
  <c r="G258" i="3"/>
  <c r="G236" i="3"/>
  <c r="G214" i="3"/>
  <c r="G192" i="3"/>
  <c r="G170" i="3"/>
  <c r="G148" i="3"/>
  <c r="G126" i="3"/>
  <c r="G104" i="3"/>
  <c r="G82" i="3"/>
  <c r="G60" i="3"/>
  <c r="G38" i="3"/>
  <c r="G253" i="3"/>
  <c r="G231" i="3"/>
  <c r="G209" i="3"/>
  <c r="G187" i="3"/>
  <c r="G165" i="3"/>
  <c r="G143" i="3"/>
  <c r="G121" i="3"/>
  <c r="G99" i="3"/>
  <c r="G77" i="3"/>
  <c r="G55" i="3"/>
  <c r="G33" i="3"/>
  <c r="G166" i="3"/>
  <c r="G145" i="3"/>
  <c r="G71" i="3"/>
  <c r="G68" i="3"/>
  <c r="G50" i="3"/>
  <c r="G47" i="3"/>
  <c r="G156" i="3"/>
  <c r="G135" i="3"/>
  <c r="G252" i="3"/>
  <c r="G28" i="3"/>
  <c r="G250" i="3"/>
  <c r="G154" i="3"/>
  <c r="G151" i="3"/>
  <c r="G142" i="3"/>
  <c r="G133" i="3"/>
  <c r="G130" i="3"/>
  <c r="G56" i="3"/>
  <c r="G35" i="3"/>
  <c r="G222" i="3"/>
  <c r="G195" i="3"/>
  <c r="G174" i="3"/>
  <c r="G240" i="3"/>
  <c r="G76" i="3"/>
  <c r="G64" i="3"/>
  <c r="G58" i="3"/>
  <c r="G144" i="3"/>
  <c r="G46" i="3"/>
  <c r="G132" i="3"/>
  <c r="G247" i="3"/>
  <c r="G244" i="3"/>
  <c r="G216" i="3"/>
  <c r="G213" i="3"/>
  <c r="G139" i="3"/>
  <c r="G118" i="3"/>
  <c r="G44" i="3"/>
  <c r="G41" i="3"/>
  <c r="G32" i="3"/>
  <c r="G23" i="3"/>
  <c r="G20" i="3"/>
  <c r="G225" i="3"/>
  <c r="G162" i="3"/>
  <c r="G88" i="3"/>
  <c r="G67" i="3"/>
  <c r="G159" i="3"/>
  <c r="G123" i="3"/>
  <c r="G249" i="3"/>
  <c r="G206" i="3"/>
  <c r="G111" i="3"/>
  <c r="G262" i="3"/>
  <c r="G256" i="3"/>
  <c r="G204" i="3"/>
  <c r="G201" i="3"/>
  <c r="G127" i="3"/>
  <c r="G124" i="3"/>
  <c r="G106" i="3"/>
  <c r="G103" i="3"/>
  <c r="G29" i="3"/>
  <c r="G79" i="3"/>
  <c r="G183" i="3"/>
  <c r="G85" i="3"/>
  <c r="G138" i="3"/>
  <c r="G37" i="3"/>
  <c r="G49" i="3"/>
  <c r="G120" i="3"/>
  <c r="G108" i="3"/>
  <c r="G265" i="3"/>
  <c r="G259" i="3"/>
  <c r="G228" i="3"/>
  <c r="G210" i="3"/>
  <c r="G189" i="3"/>
  <c r="G115" i="3"/>
  <c r="G112" i="3"/>
  <c r="G94" i="3"/>
  <c r="G91" i="3"/>
  <c r="G17" i="3"/>
  <c r="G198" i="3"/>
  <c r="G186" i="3"/>
  <c r="G177" i="3"/>
  <c r="G100" i="3"/>
  <c r="G234" i="3"/>
  <c r="G25" i="3"/>
  <c r="G221" i="3"/>
  <c r="G129" i="3"/>
  <c r="G34" i="3"/>
  <c r="G243" i="3"/>
  <c r="G237" i="3"/>
  <c r="G171" i="3"/>
  <c r="G168" i="3"/>
  <c r="G150" i="3"/>
  <c r="G147" i="3"/>
  <c r="G73" i="3"/>
  <c r="G52" i="3"/>
  <c r="G61" i="3"/>
  <c r="G40" i="3"/>
  <c r="G255" i="3"/>
  <c r="G218" i="3"/>
  <c r="G264" i="3"/>
  <c r="G227" i="3"/>
  <c r="G188" i="3"/>
  <c r="G167" i="3"/>
  <c r="G93" i="3"/>
  <c r="G90" i="3"/>
  <c r="G72" i="3"/>
  <c r="G69" i="3"/>
  <c r="G245" i="3"/>
  <c r="G239" i="3"/>
  <c r="G161" i="3"/>
  <c r="G140" i="3"/>
  <c r="G66" i="3"/>
  <c r="G63" i="3"/>
  <c r="G54" i="3"/>
  <c r="G149" i="3"/>
  <c r="G128" i="3"/>
  <c r="G125" i="3"/>
  <c r="G51" i="3"/>
  <c r="G176" i="3"/>
  <c r="G173" i="3"/>
  <c r="G164" i="3"/>
  <c r="G155" i="3"/>
  <c r="G152" i="3"/>
  <c r="G78" i="3"/>
  <c r="G57" i="3"/>
  <c r="G45" i="3"/>
  <c r="G42" i="3"/>
  <c r="G257" i="3"/>
  <c r="G242" i="3"/>
  <c r="G146" i="3"/>
  <c r="G36" i="3"/>
  <c r="G24" i="3"/>
  <c r="G59" i="3"/>
  <c r="H69" i="3"/>
  <c r="H89" i="3"/>
  <c r="H101" i="3"/>
  <c r="H105" i="3"/>
  <c r="G117" i="3"/>
  <c r="G122" i="3"/>
  <c r="G200" i="3"/>
  <c r="G208" i="3"/>
  <c r="H264" i="3"/>
  <c r="H166" i="3"/>
  <c r="G179" i="3"/>
  <c r="G191" i="3"/>
  <c r="G89" i="3"/>
  <c r="G184" i="3"/>
  <c r="H200" i="3"/>
  <c r="G212" i="3"/>
  <c r="H188" i="3"/>
  <c r="H196" i="3"/>
  <c r="G217" i="3"/>
  <c r="H229" i="3"/>
  <c r="H145" i="3"/>
  <c r="H167" i="3"/>
  <c r="H217" i="3"/>
  <c r="G238" i="3"/>
  <c r="G178" i="3"/>
  <c r="G81" i="3"/>
  <c r="G105" i="3"/>
  <c r="H122" i="3"/>
  <c r="G196" i="3"/>
  <c r="H184" i="3"/>
  <c r="G22" i="3"/>
  <c r="G74" i="3"/>
  <c r="G86" i="3"/>
  <c r="G98" i="3"/>
  <c r="G110" i="3"/>
  <c r="G193" i="3"/>
  <c r="G205" i="3"/>
  <c r="H238" i="3"/>
  <c r="G260" i="3"/>
  <c r="G95" i="3"/>
  <c r="G235" i="3"/>
  <c r="G194" i="3"/>
  <c r="H235" i="3"/>
  <c r="G169" i="3"/>
  <c r="G80" i="3"/>
  <c r="H169" i="3"/>
  <c r="G116" i="3"/>
  <c r="H199" i="3"/>
  <c r="G220" i="3"/>
  <c r="H251" i="3"/>
  <c r="H220" i="3"/>
  <c r="H81" i="3"/>
  <c r="H93" i="3"/>
  <c r="G101" i="3"/>
  <c r="G113" i="3"/>
  <c r="H208" i="3"/>
  <c r="G39" i="3"/>
  <c r="G62" i="3"/>
  <c r="H74" i="3"/>
  <c r="H86" i="3"/>
  <c r="H90" i="3"/>
  <c r="H98" i="3"/>
  <c r="G102" i="3"/>
  <c r="H110" i="3"/>
  <c r="G172" i="3"/>
  <c r="H193" i="3"/>
  <c r="H205" i="3"/>
  <c r="G137" i="3"/>
  <c r="H27" i="3"/>
  <c r="G182" i="3"/>
  <c r="H190" i="3"/>
  <c r="G157" i="3"/>
  <c r="H157" i="3"/>
  <c r="G199" i="3"/>
  <c r="G211" i="3"/>
  <c r="H179" i="3"/>
  <c r="H47" i="3"/>
  <c r="G233" i="3"/>
  <c r="G30" i="3"/>
  <c r="H39" i="3"/>
  <c r="H62" i="3"/>
  <c r="H102" i="3"/>
  <c r="H172" i="3"/>
  <c r="G181" i="3"/>
  <c r="G18" i="3"/>
  <c r="G83" i="3"/>
  <c r="H119" i="3"/>
  <c r="H181" i="3"/>
  <c r="G230" i="3"/>
  <c r="G261" i="3"/>
  <c r="I18" i="3"/>
  <c r="I158" i="3"/>
  <c r="D179" i="3"/>
  <c r="D230" i="3"/>
  <c r="D22" i="3"/>
  <c r="I30" i="3"/>
  <c r="I51" i="3"/>
  <c r="E60" i="3"/>
  <c r="E81" i="3"/>
  <c r="F93" i="3"/>
  <c r="D96" i="3"/>
  <c r="E105" i="3"/>
  <c r="D117" i="3"/>
  <c r="I128" i="3"/>
  <c r="I149" i="3"/>
  <c r="F167" i="3"/>
  <c r="D170" i="3"/>
  <c r="E179" i="3"/>
  <c r="E182" i="3"/>
  <c r="F188" i="3"/>
  <c r="D191" i="3"/>
  <c r="D194" i="3"/>
  <c r="E200" i="3"/>
  <c r="E203" i="3"/>
  <c r="D215" i="3"/>
  <c r="F227" i="3"/>
  <c r="E230" i="3"/>
  <c r="E233" i="3"/>
  <c r="F264" i="3"/>
  <c r="I238" i="3"/>
  <c r="I260" i="3"/>
  <c r="I39" i="3"/>
  <c r="D60" i="3"/>
  <c r="D81" i="3"/>
  <c r="I137" i="3"/>
  <c r="D182" i="3"/>
  <c r="D203" i="3"/>
  <c r="I211" i="3"/>
  <c r="D233" i="3"/>
  <c r="D34" i="3"/>
  <c r="I42" i="3"/>
  <c r="F84" i="3"/>
  <c r="D87" i="3"/>
  <c r="D99" i="3"/>
  <c r="F105" i="3"/>
  <c r="D108" i="3"/>
  <c r="D111" i="3"/>
  <c r="E117" i="3"/>
  <c r="D120" i="3"/>
  <c r="D132" i="3"/>
  <c r="I140" i="3"/>
  <c r="I161" i="3"/>
  <c r="E170" i="3"/>
  <c r="F179" i="3"/>
  <c r="F182" i="3"/>
  <c r="E191" i="3"/>
  <c r="E194" i="3"/>
  <c r="F200" i="3"/>
  <c r="F203" i="3"/>
  <c r="D206" i="3"/>
  <c r="E215" i="3"/>
  <c r="D221" i="3"/>
  <c r="F230" i="3"/>
  <c r="F233" i="3"/>
  <c r="D236" i="3"/>
  <c r="I239" i="3"/>
  <c r="F261" i="3"/>
  <c r="D198" i="3"/>
  <c r="D225" i="3"/>
  <c r="I249" i="3"/>
  <c r="D266" i="3"/>
  <c r="D244" i="3"/>
  <c r="D222" i="3"/>
  <c r="D200" i="3"/>
  <c r="D178" i="3"/>
  <c r="D156" i="3"/>
  <c r="D134" i="3"/>
  <c r="D112" i="3"/>
  <c r="D90" i="3"/>
  <c r="D68" i="3"/>
  <c r="D46" i="3"/>
  <c r="D24" i="3"/>
  <c r="D261" i="3"/>
  <c r="D239" i="3"/>
  <c r="D217" i="3"/>
  <c r="D195" i="3"/>
  <c r="D173" i="3"/>
  <c r="D151" i="3"/>
  <c r="D129" i="3"/>
  <c r="D107" i="3"/>
  <c r="D85" i="3"/>
  <c r="D63" i="3"/>
  <c r="D41" i="3"/>
  <c r="D19" i="3"/>
  <c r="D263" i="3"/>
  <c r="D256" i="3"/>
  <c r="D234" i="3"/>
  <c r="D212" i="3"/>
  <c r="D190" i="3"/>
  <c r="D168" i="3"/>
  <c r="D146" i="3"/>
  <c r="D124" i="3"/>
  <c r="D102" i="3"/>
  <c r="D80" i="3"/>
  <c r="D58" i="3"/>
  <c r="D36" i="3"/>
  <c r="D251" i="3"/>
  <c r="D229" i="3"/>
  <c r="D207" i="3"/>
  <c r="D185" i="3"/>
  <c r="D163" i="3"/>
  <c r="D141" i="3"/>
  <c r="D119" i="3"/>
  <c r="D97" i="3"/>
  <c r="D75" i="3"/>
  <c r="D53" i="3"/>
  <c r="D31" i="3"/>
  <c r="D246" i="3"/>
  <c r="D224" i="3"/>
  <c r="D202" i="3"/>
  <c r="D180" i="3"/>
  <c r="D158" i="3"/>
  <c r="D136" i="3"/>
  <c r="D114" i="3"/>
  <c r="D92" i="3"/>
  <c r="D70" i="3"/>
  <c r="D48" i="3"/>
  <c r="D26" i="3"/>
  <c r="D241" i="3"/>
  <c r="D219" i="3"/>
  <c r="D17" i="3"/>
  <c r="I49" i="3"/>
  <c r="F55" i="3"/>
  <c r="F64" i="3"/>
  <c r="I70" i="3"/>
  <c r="F76" i="3"/>
  <c r="E79" i="3"/>
  <c r="F85" i="3"/>
  <c r="D91" i="3"/>
  <c r="D94" i="3"/>
  <c r="E100" i="3"/>
  <c r="D115" i="3"/>
  <c r="F162" i="3"/>
  <c r="E165" i="3"/>
  <c r="E174" i="3"/>
  <c r="E177" i="3"/>
  <c r="F183" i="3"/>
  <c r="E186" i="3"/>
  <c r="D189" i="3"/>
  <c r="E198" i="3"/>
  <c r="D210" i="3"/>
  <c r="I218" i="3"/>
  <c r="E222" i="3"/>
  <c r="D228" i="3"/>
  <c r="F240" i="3"/>
  <c r="D259" i="3"/>
  <c r="D265" i="3"/>
  <c r="I191" i="3"/>
  <c r="D100" i="3"/>
  <c r="I132" i="3"/>
  <c r="D29" i="3"/>
  <c r="D127" i="3"/>
  <c r="D204" i="3"/>
  <c r="D262" i="3"/>
  <c r="I171" i="3"/>
  <c r="D216" i="3"/>
  <c r="E261" i="3"/>
  <c r="E239" i="3"/>
  <c r="E217" i="3"/>
  <c r="E195" i="3"/>
  <c r="E173" i="3"/>
  <c r="E151" i="3"/>
  <c r="E129" i="3"/>
  <c r="E107" i="3"/>
  <c r="E85" i="3"/>
  <c r="E63" i="3"/>
  <c r="E41" i="3"/>
  <c r="E19" i="3"/>
  <c r="E256" i="3"/>
  <c r="E234" i="3"/>
  <c r="E212" i="3"/>
  <c r="E190" i="3"/>
  <c r="E168" i="3"/>
  <c r="E146" i="3"/>
  <c r="E124" i="3"/>
  <c r="E102" i="3"/>
  <c r="E80" i="3"/>
  <c r="E58" i="3"/>
  <c r="E36" i="3"/>
  <c r="E258" i="3"/>
  <c r="E251" i="3"/>
  <c r="E229" i="3"/>
  <c r="E207" i="3"/>
  <c r="E185" i="3"/>
  <c r="E163" i="3"/>
  <c r="E141" i="3"/>
  <c r="E119" i="3"/>
  <c r="E97" i="3"/>
  <c r="E75" i="3"/>
  <c r="E53" i="3"/>
  <c r="E31" i="3"/>
  <c r="E246" i="3"/>
  <c r="E224" i="3"/>
  <c r="E202" i="3"/>
  <c r="E180" i="3"/>
  <c r="E158" i="3"/>
  <c r="E136" i="3"/>
  <c r="E114" i="3"/>
  <c r="E92" i="3"/>
  <c r="E70" i="3"/>
  <c r="E48" i="3"/>
  <c r="E26" i="3"/>
  <c r="E263" i="3"/>
  <c r="E241" i="3"/>
  <c r="E219" i="3"/>
  <c r="E197" i="3"/>
  <c r="E175" i="3"/>
  <c r="E153" i="3"/>
  <c r="E131" i="3"/>
  <c r="E109" i="3"/>
  <c r="E87" i="3"/>
  <c r="E65" i="3"/>
  <c r="E43" i="3"/>
  <c r="E21" i="3"/>
  <c r="E236" i="3"/>
  <c r="E20" i="3"/>
  <c r="E23" i="3"/>
  <c r="F29" i="3"/>
  <c r="E32" i="3"/>
  <c r="D35" i="3"/>
  <c r="E44" i="3"/>
  <c r="D56" i="3"/>
  <c r="I88" i="3"/>
  <c r="I97" i="3"/>
  <c r="F103" i="3"/>
  <c r="F106" i="3"/>
  <c r="D109" i="3"/>
  <c r="E118" i="3"/>
  <c r="D121" i="3"/>
  <c r="F127" i="3"/>
  <c r="D130" i="3"/>
  <c r="D133" i="3"/>
  <c r="E139" i="3"/>
  <c r="D142" i="3"/>
  <c r="D154" i="3"/>
  <c r="E192" i="3"/>
  <c r="F201" i="3"/>
  <c r="F204" i="3"/>
  <c r="E213" i="3"/>
  <c r="E216" i="3"/>
  <c r="I240" i="3"/>
  <c r="E244" i="3"/>
  <c r="E247" i="3"/>
  <c r="D250" i="3"/>
  <c r="F262" i="3"/>
  <c r="I108" i="3"/>
  <c r="I147" i="3"/>
  <c r="D247" i="3"/>
  <c r="F20" i="3"/>
  <c r="F23" i="3"/>
  <c r="F32" i="3"/>
  <c r="E35" i="3"/>
  <c r="F41" i="3"/>
  <c r="F44" i="3"/>
  <c r="D47" i="3"/>
  <c r="D50" i="3"/>
  <c r="E56" i="3"/>
  <c r="D71" i="3"/>
  <c r="I79" i="3"/>
  <c r="I100" i="3"/>
  <c r="F118" i="3"/>
  <c r="E121" i="3"/>
  <c r="E130" i="3"/>
  <c r="E133" i="3"/>
  <c r="F139" i="3"/>
  <c r="E142" i="3"/>
  <c r="D145" i="3"/>
  <c r="E154" i="3"/>
  <c r="D166" i="3"/>
  <c r="I198" i="3"/>
  <c r="I207" i="3"/>
  <c r="F213" i="3"/>
  <c r="F216" i="3"/>
  <c r="I222" i="3"/>
  <c r="F244" i="3"/>
  <c r="F247" i="3"/>
  <c r="E250" i="3"/>
  <c r="D253" i="3"/>
  <c r="D79" i="3"/>
  <c r="I129" i="3"/>
  <c r="I141" i="3"/>
  <c r="I58" i="3"/>
  <c r="D103" i="3"/>
  <c r="I180" i="3"/>
  <c r="D20" i="3"/>
  <c r="D32" i="3"/>
  <c r="F115" i="3"/>
  <c r="E127" i="3"/>
  <c r="D139" i="3"/>
  <c r="I150" i="3"/>
  <c r="D192" i="3"/>
  <c r="I237" i="3"/>
  <c r="I17" i="3"/>
  <c r="F35" i="3"/>
  <c r="D38" i="3"/>
  <c r="E47" i="3"/>
  <c r="E50" i="3"/>
  <c r="F56" i="3"/>
  <c r="D59" i="3"/>
  <c r="D62" i="3"/>
  <c r="E68" i="3"/>
  <c r="E71" i="3"/>
  <c r="D83" i="3"/>
  <c r="I91" i="3"/>
  <c r="F121" i="3"/>
  <c r="F130" i="3"/>
  <c r="F133" i="3"/>
  <c r="F142" i="3"/>
  <c r="E145" i="3"/>
  <c r="F151" i="3"/>
  <c r="F154" i="3"/>
  <c r="D157" i="3"/>
  <c r="D160" i="3"/>
  <c r="E166" i="3"/>
  <c r="D181" i="3"/>
  <c r="I189" i="3"/>
  <c r="I210" i="3"/>
  <c r="I228" i="3"/>
  <c r="D232" i="3"/>
  <c r="E253" i="3"/>
  <c r="I259" i="3"/>
  <c r="I117" i="3"/>
  <c r="I120" i="3"/>
  <c r="D177" i="3"/>
  <c r="I40" i="3"/>
  <c r="D106" i="3"/>
  <c r="I159" i="3"/>
  <c r="D231" i="3"/>
  <c r="D23" i="3"/>
  <c r="D44" i="3"/>
  <c r="I52" i="3"/>
  <c r="D118" i="3"/>
  <c r="I168" i="3"/>
  <c r="D213" i="3"/>
  <c r="F256" i="3"/>
  <c r="F234" i="3"/>
  <c r="F212" i="3"/>
  <c r="F190" i="3"/>
  <c r="F168" i="3"/>
  <c r="F146" i="3"/>
  <c r="F124" i="3"/>
  <c r="F102" i="3"/>
  <c r="F80" i="3"/>
  <c r="F58" i="3"/>
  <c r="F36" i="3"/>
  <c r="F251" i="3"/>
  <c r="F229" i="3"/>
  <c r="F207" i="3"/>
  <c r="F185" i="3"/>
  <c r="F163" i="3"/>
  <c r="F141" i="3"/>
  <c r="F119" i="3"/>
  <c r="F97" i="3"/>
  <c r="F75" i="3"/>
  <c r="F53" i="3"/>
  <c r="F31" i="3"/>
  <c r="F231" i="3"/>
  <c r="F246" i="3"/>
  <c r="F224" i="3"/>
  <c r="F202" i="3"/>
  <c r="F180" i="3"/>
  <c r="F158" i="3"/>
  <c r="F136" i="3"/>
  <c r="F114" i="3"/>
  <c r="F92" i="3"/>
  <c r="F70" i="3"/>
  <c r="F48" i="3"/>
  <c r="F26" i="3"/>
  <c r="F263" i="3"/>
  <c r="F241" i="3"/>
  <c r="F219" i="3"/>
  <c r="F197" i="3"/>
  <c r="F175" i="3"/>
  <c r="F153" i="3"/>
  <c r="F131" i="3"/>
  <c r="F109" i="3"/>
  <c r="F87" i="3"/>
  <c r="F65" i="3"/>
  <c r="F43" i="3"/>
  <c r="F21" i="3"/>
  <c r="F253" i="3"/>
  <c r="F258" i="3"/>
  <c r="F236" i="3"/>
  <c r="F214" i="3"/>
  <c r="F192" i="3"/>
  <c r="F170" i="3"/>
  <c r="F148" i="3"/>
  <c r="F126" i="3"/>
  <c r="F104" i="3"/>
  <c r="F82" i="3"/>
  <c r="F60" i="3"/>
  <c r="F38" i="3"/>
  <c r="I29" i="3"/>
  <c r="E38" i="3"/>
  <c r="F47" i="3"/>
  <c r="F50" i="3"/>
  <c r="E59" i="3"/>
  <c r="E62" i="3"/>
  <c r="F68" i="3"/>
  <c r="F71" i="3"/>
  <c r="D74" i="3"/>
  <c r="E83" i="3"/>
  <c r="D95" i="3"/>
  <c r="I127" i="3"/>
  <c r="F145" i="3"/>
  <c r="D148" i="3"/>
  <c r="E157" i="3"/>
  <c r="E160" i="3"/>
  <c r="F166" i="3"/>
  <c r="D169" i="3"/>
  <c r="D172" i="3"/>
  <c r="E178" i="3"/>
  <c r="E181" i="3"/>
  <c r="D193" i="3"/>
  <c r="E232" i="3"/>
  <c r="D238" i="3"/>
  <c r="E266" i="3"/>
  <c r="I37" i="3"/>
  <c r="I61" i="3"/>
  <c r="I20" i="3"/>
  <c r="I32" i="3"/>
  <c r="I41" i="3"/>
  <c r="F59" i="3"/>
  <c r="F62" i="3"/>
  <c r="D65" i="3"/>
  <c r="E74" i="3"/>
  <c r="D77" i="3"/>
  <c r="F83" i="3"/>
  <c r="D86" i="3"/>
  <c r="D89" i="3"/>
  <c r="E95" i="3"/>
  <c r="D98" i="3"/>
  <c r="D110" i="3"/>
  <c r="I118" i="3"/>
  <c r="I139" i="3"/>
  <c r="E148" i="3"/>
  <c r="F157" i="3"/>
  <c r="F160" i="3"/>
  <c r="E169" i="3"/>
  <c r="E172" i="3"/>
  <c r="F178" i="3"/>
  <c r="F181" i="3"/>
  <c r="D184" i="3"/>
  <c r="E193" i="3"/>
  <c r="D205" i="3"/>
  <c r="D220" i="3"/>
  <c r="F232" i="3"/>
  <c r="D235" i="3"/>
  <c r="E238" i="3"/>
  <c r="I247" i="3"/>
  <c r="F266" i="3"/>
  <c r="J18" i="3"/>
  <c r="I23" i="3"/>
  <c r="J40" i="3"/>
  <c r="I45" i="3"/>
  <c r="J62" i="3"/>
  <c r="I67" i="3"/>
  <c r="J84" i="3"/>
  <c r="I89" i="3"/>
  <c r="J106" i="3"/>
  <c r="I111" i="3"/>
  <c r="J128" i="3"/>
  <c r="I133" i="3"/>
  <c r="J150" i="3"/>
  <c r="I155" i="3"/>
  <c r="J172" i="3"/>
  <c r="I177" i="3"/>
  <c r="J194" i="3"/>
  <c r="I199" i="3"/>
  <c r="J216" i="3"/>
  <c r="I221" i="3"/>
  <c r="J238" i="3"/>
  <c r="I243" i="3"/>
  <c r="J260" i="3"/>
  <c r="I265" i="3"/>
  <c r="J23" i="3"/>
  <c r="I28" i="3"/>
  <c r="J45" i="3"/>
  <c r="I50" i="3"/>
  <c r="J67" i="3"/>
  <c r="I72" i="3"/>
  <c r="J89" i="3"/>
  <c r="I94" i="3"/>
  <c r="J111" i="3"/>
  <c r="I116" i="3"/>
  <c r="J133" i="3"/>
  <c r="I138" i="3"/>
  <c r="J155" i="3"/>
  <c r="I160" i="3"/>
  <c r="J177" i="3"/>
  <c r="I182" i="3"/>
  <c r="J199" i="3"/>
  <c r="I204" i="3"/>
  <c r="J221" i="3"/>
  <c r="I226" i="3"/>
  <c r="J243" i="3"/>
  <c r="I248" i="3"/>
  <c r="J265" i="3"/>
  <c r="J28" i="3"/>
  <c r="I33" i="3"/>
  <c r="J50" i="3"/>
  <c r="I55" i="3"/>
  <c r="J72" i="3"/>
  <c r="I77" i="3"/>
  <c r="J94" i="3"/>
  <c r="I99" i="3"/>
  <c r="J116" i="3"/>
  <c r="I121" i="3"/>
  <c r="J138" i="3"/>
  <c r="I143" i="3"/>
  <c r="J160" i="3"/>
  <c r="I165" i="3"/>
  <c r="J182" i="3"/>
  <c r="I187" i="3"/>
  <c r="J204" i="3"/>
  <c r="I209" i="3"/>
  <c r="J226" i="3"/>
  <c r="I231" i="3"/>
  <c r="J248" i="3"/>
  <c r="I253" i="3"/>
  <c r="J33" i="3"/>
  <c r="I38" i="3"/>
  <c r="J55" i="3"/>
  <c r="I60" i="3"/>
  <c r="J77" i="3"/>
  <c r="I82" i="3"/>
  <c r="J99" i="3"/>
  <c r="I104" i="3"/>
  <c r="J121" i="3"/>
  <c r="I126" i="3"/>
  <c r="J143" i="3"/>
  <c r="I148" i="3"/>
  <c r="J165" i="3"/>
  <c r="I170" i="3"/>
  <c r="J187" i="3"/>
  <c r="I192" i="3"/>
  <c r="J209" i="3"/>
  <c r="I214" i="3"/>
  <c r="J231" i="3"/>
  <c r="I236" i="3"/>
  <c r="J253" i="3"/>
  <c r="I258" i="3"/>
  <c r="I21" i="3"/>
  <c r="J38" i="3"/>
  <c r="I43" i="3"/>
  <c r="J60" i="3"/>
  <c r="I65" i="3"/>
  <c r="J82" i="3"/>
  <c r="I87" i="3"/>
  <c r="J104" i="3"/>
  <c r="I109" i="3"/>
  <c r="J126" i="3"/>
  <c r="I131" i="3"/>
  <c r="J148" i="3"/>
  <c r="I153" i="3"/>
  <c r="J170" i="3"/>
  <c r="I175" i="3"/>
  <c r="J192" i="3"/>
  <c r="I197" i="3"/>
  <c r="J214" i="3"/>
  <c r="I219" i="3"/>
  <c r="J236" i="3"/>
  <c r="I241" i="3"/>
</calcChain>
</file>

<file path=xl/sharedStrings.xml><?xml version="1.0" encoding="utf-8"?>
<sst xmlns="http://schemas.openxmlformats.org/spreadsheetml/2006/main" count="301" uniqueCount="67">
  <si>
    <t>10-Year Panel fsQCA Dataset (Simulated, Time-Varying)</t>
  </si>
  <si>
    <t>25 firms x 10 years (2015-2024) = 250 cases — all six conditions now vary by firm AND year</t>
  </si>
  <si>
    <t>ACADEMIC INTEGRITY NOTICE</t>
  </si>
  <si>
    <t>Every value in this panel is SIMULATED to demonstrate how a time-varying fsQCA dataset should be structured. Do not present as real empirical findings.</t>
  </si>
  <si>
    <t>DESIGN LOGIC</t>
  </si>
  <si>
    <t>AI Governance: S-curve, inflection ~2020 (formal AI governance frameworks emerged post-2020).</t>
  </si>
  <si>
    <t>AI Capability: steady, accelerating rise across the decade (tracks real-world AI capability growth).</t>
  </si>
  <si>
    <t>Sustainable Sourcing: gradual, near-linear rise (steady ESG/regulatory pressure).</t>
  </si>
  <si>
    <t>Digital Visibility: S-curve, inflection ~2020 (COVID-driven digitization of supply chains).</t>
  </si>
  <si>
    <t>Supplier Collaboration: gradual rise plus a 2020-2021 bump (COVID forced closer coordination).</t>
  </si>
  <si>
    <t>Supplier Diversification: flat until 2020, sharp rise 2020-2022, then plateau (COVID/geopolitical reshoring wave).</t>
  </si>
  <si>
    <t>SC Resilience (outcome): rising secular trend, with a dip in 2020-2021 (COVID shock) before recovering to new highs — firms with higher AI Capability at the time of the shock recovered faster.</t>
  </si>
  <si>
    <t>Each firm also keeps its own baseline level and adoption speed (early vs. late movers), so cases differ by firm AND year, not just by year.</t>
  </si>
  <si>
    <t>CALIBRATION</t>
  </si>
  <si>
    <t>KEY RESULT (see accompanying Truth Table report)</t>
  </si>
  <si>
    <t>Before 2020: ~0% of firm-years show 'all conditions present'; the dominant configuration is 'all absent' (68% of early cases).</t>
  </si>
  <si>
    <t>From 2020 onward: presence rates cross 50% within 1-2 years and saturate near 100% by 2022; 'all conditions present' becomes the dominant, highly consistent configuration for resilience (raw consistency 0.93, PRI 0.93) in the 2020-2024 truth table.</t>
  </si>
  <si>
    <t>Company</t>
  </si>
  <si>
    <t>Year</t>
  </si>
  <si>
    <t>AI_Governance</t>
  </si>
  <si>
    <t>AI_Capability</t>
  </si>
  <si>
    <t>Sustainable_Sourcing</t>
  </si>
  <si>
    <t>Digital_Visibility</t>
  </si>
  <si>
    <t>Supplier_Collaboration</t>
  </si>
  <si>
    <t>Supplier_Diversification</t>
  </si>
  <si>
    <t>SC_Resilience</t>
  </si>
  <si>
    <t>ASML Holding N.V.</t>
  </si>
  <si>
    <t>Advanced Micro Devices</t>
  </si>
  <si>
    <t>Analog Devices</t>
  </si>
  <si>
    <t>Applied Materials</t>
  </si>
  <si>
    <t>Broadcom Inc.</t>
  </si>
  <si>
    <t>Infineon Technologies</t>
  </si>
  <si>
    <t>Intel Corporation</t>
  </si>
  <si>
    <t>KLA Corporation</t>
  </si>
  <si>
    <t>Lam Research</t>
  </si>
  <si>
    <t>Marvell Technology</t>
  </si>
  <si>
    <t>Microchip Technology</t>
  </si>
  <si>
    <t>Micron Technology</t>
  </si>
  <si>
    <t>Monolithic Power Systems</t>
  </si>
  <si>
    <t>NVIDIA Corporation</t>
  </si>
  <si>
    <t>NXP Semiconductors</t>
  </si>
  <si>
    <t>ON Semiconductor</t>
  </si>
  <si>
    <t>Qorvo Inc.</t>
  </si>
  <si>
    <t>Qualcomm Incorporated</t>
  </si>
  <si>
    <t>STMicroelectronics</t>
  </si>
  <si>
    <t>Seagate Technology</t>
  </si>
  <si>
    <t>Skyworks Solutions</t>
  </si>
  <si>
    <t>Taiwan Semiconductor Mfg</t>
  </si>
  <si>
    <t>Teradyne Inc.</t>
  </si>
  <si>
    <t>Texas Instruments</t>
  </si>
  <si>
    <t>Western Digital</t>
  </si>
  <si>
    <t>Calibration Anchors (theory-based: pooled mean ± 1.5 SD across all 250 cases)</t>
  </si>
  <si>
    <t>Condition</t>
  </si>
  <si>
    <t>Full Non-Membership (0.05)</t>
  </si>
  <si>
    <t>Crossover (0.50)</t>
  </si>
  <si>
    <t>Full Membership (0.95)</t>
  </si>
  <si>
    <t>Calibrated Fuzzy-Set Membership Scores (live formulas)</t>
  </si>
  <si>
    <t>fz_AI_Governance</t>
  </si>
  <si>
    <t>fz_AI_Capability</t>
  </si>
  <si>
    <t>fz_Sustainable_Sourcing</t>
  </si>
  <si>
    <t>fz_Digital_Visibility</t>
  </si>
  <si>
    <t>fz_Supplier_Collaboration</t>
  </si>
  <si>
    <t>fz_Supplier_Diversification</t>
  </si>
  <si>
    <t>fz_SC_Resilience</t>
  </si>
  <si>
    <r>
      <t xml:space="preserve">Fuzzy scores use theory-based anchors </t>
    </r>
    <r>
      <rPr>
        <b/>
        <sz val="11"/>
        <rFont val="Arial"/>
        <family val="2"/>
      </rPr>
      <t>(pooled mean ± 1.5 SD across all 250 cases)</t>
    </r>
    <r>
      <rPr>
        <sz val="11"/>
        <rFont val="Arial"/>
        <charset val="1"/>
      </rPr>
      <t xml:space="preserve"> — see 'Fuzzy Calibration' sheet for live formulas.</t>
    </r>
  </si>
  <si>
    <r>
      <rPr>
        <b/>
        <sz val="11"/>
        <color theme="1"/>
        <rFont val="Calibri"/>
        <family val="2"/>
      </rPr>
      <t>Raw consistency —</t>
    </r>
    <r>
      <rPr>
        <sz val="11"/>
        <color theme="1"/>
        <rFont val="Calibri"/>
        <family val="2"/>
        <charset val="1"/>
      </rPr>
      <t xml:space="preserve"> how consistently a configuration is a subset of the outcome, i.e., what share of cases with that configuration also have high membership in the outcome.</t>
    </r>
  </si>
  <si>
    <r>
      <t>PRI consistency</t>
    </r>
    <r>
      <rPr>
        <sz val="11"/>
        <color theme="1"/>
        <rFont val="Calibri"/>
        <family val="2"/>
        <charset val="1"/>
      </rPr>
      <t xml:space="preserve"> — a corrected version of raw consistency that penalizes cases where the same configuration overlaps </t>
    </r>
    <r>
      <rPr>
        <i/>
        <sz val="11"/>
        <color theme="1"/>
        <rFont val="Calibri"/>
        <family val="2"/>
        <charset val="1"/>
      </rPr>
      <t>both</t>
    </r>
    <r>
      <rPr>
        <sz val="11"/>
        <color theme="1"/>
        <rFont val="Calibri"/>
        <family val="2"/>
        <charset val="1"/>
      </rPr>
      <t xml:space="preserve"> the outcome and its negation, catching contradictions that raw consistency alone can hide.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</si>
</sst>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i/>
      <sz val="11"/>
      <name val="Arial"/>
      <charset val="1"/>
    </font>
    <font>
      <sz val="11"/>
      <name val="Arial"/>
      <charset val="1"/>
    </font>
    <font>
      <b/>
      <sz val="12"/>
      <color rgb="FFC00000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  <font>
      <sz val="11"/>
      <color rgb="FF0000FF"/>
      <name val="Arial"/>
      <charset val="1"/>
    </font>
    <font>
      <b/>
      <sz val="12"/>
      <name val="Arial"/>
      <charset val="1"/>
    </font>
    <font>
      <sz val="11"/>
      <color rgb="FF008000"/>
      <name val="Arial"/>
      <charset val="1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/>
    <xf numFmtId="0" fontId="1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7" fillId="0" borderId="1" xfId="0" applyNumberFormat="1" applyFont="1" applyBorder="1"/>
    <xf numFmtId="0" fontId="8" fillId="0" borderId="0" xfId="0" applyFont="1"/>
    <xf numFmtId="0" fontId="5" fillId="0" borderId="1" xfId="0" applyFont="1" applyBorder="1"/>
    <xf numFmtId="164" fontId="0" fillId="0" borderId="1" xfId="0" applyNumberFormat="1" applyBorder="1"/>
    <xf numFmtId="164" fontId="9" fillId="0" borderId="1" xfId="0" applyNumberFormat="1" applyFont="1" applyBorder="1"/>
    <xf numFmtId="0" fontId="11" fillId="0" borderId="0" xfId="0" applyFont="1" applyAlignment="1">
      <alignment vertical="top" wrapText="1"/>
    </xf>
    <xf numFmtId="0" fontId="13" fillId="0" borderId="0" xfId="0" applyFont="1"/>
    <xf numFmtId="0" fontId="14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6"/>
  <sheetViews>
    <sheetView showGridLines="0" tabSelected="1" topLeftCell="A16" zoomScaleNormal="100" workbookViewId="0">
      <selection activeCell="F25" sqref="F25"/>
    </sheetView>
  </sheetViews>
  <sheetFormatPr defaultColWidth="8.6640625" defaultRowHeight="14.4" x14ac:dyDescent="0.3"/>
  <cols>
    <col min="1" max="1" width="3" customWidth="1"/>
    <col min="2" max="9" width="14" customWidth="1"/>
  </cols>
  <sheetData>
    <row r="2" spans="2:9" ht="21" x14ac:dyDescent="0.4">
      <c r="B2" s="5" t="s">
        <v>0</v>
      </c>
      <c r="C2" s="5"/>
      <c r="D2" s="5"/>
      <c r="E2" s="5"/>
      <c r="F2" s="5"/>
      <c r="G2" s="5"/>
      <c r="H2" s="5"/>
    </row>
    <row r="3" spans="2:9" x14ac:dyDescent="0.3">
      <c r="B3" s="4" t="s">
        <v>1</v>
      </c>
      <c r="C3" s="4"/>
      <c r="D3" s="4"/>
      <c r="E3" s="4"/>
      <c r="F3" s="4"/>
      <c r="G3" s="4"/>
      <c r="H3" s="4"/>
    </row>
    <row r="5" spans="2:9" ht="7.5" customHeight="1" x14ac:dyDescent="0.3">
      <c r="B5" s="3"/>
      <c r="C5" s="3"/>
      <c r="D5" s="3"/>
      <c r="E5" s="3"/>
      <c r="F5" s="3"/>
      <c r="G5" s="3"/>
      <c r="H5" s="3"/>
      <c r="I5" s="3"/>
    </row>
    <row r="6" spans="2:9" ht="21" customHeight="1" x14ac:dyDescent="0.3">
      <c r="B6" s="2" t="s">
        <v>2</v>
      </c>
      <c r="C6" s="2"/>
      <c r="D6" s="2"/>
      <c r="E6" s="2"/>
      <c r="F6" s="2"/>
      <c r="G6" s="2"/>
      <c r="H6" s="2"/>
      <c r="I6" s="2"/>
    </row>
    <row r="7" spans="2:9" ht="36" customHeight="1" x14ac:dyDescent="0.3">
      <c r="B7" s="3" t="s">
        <v>3</v>
      </c>
      <c r="C7" s="3"/>
      <c r="D7" s="3"/>
      <c r="E7" s="3"/>
      <c r="F7" s="3"/>
      <c r="G7" s="3"/>
      <c r="H7" s="3"/>
      <c r="I7" s="3"/>
    </row>
    <row r="8" spans="2:9" ht="7.5" customHeight="1" x14ac:dyDescent="0.3">
      <c r="B8" s="3"/>
      <c r="C8" s="3"/>
      <c r="D8" s="3"/>
      <c r="E8" s="3"/>
      <c r="F8" s="3"/>
      <c r="G8" s="3"/>
      <c r="H8" s="3"/>
      <c r="I8" s="3"/>
    </row>
    <row r="9" spans="2:9" ht="21" customHeight="1" x14ac:dyDescent="0.3">
      <c r="B9" s="1" t="s">
        <v>4</v>
      </c>
      <c r="C9" s="1"/>
      <c r="D9" s="1"/>
      <c r="E9" s="1"/>
      <c r="F9" s="1"/>
      <c r="G9" s="1"/>
      <c r="H9" s="1"/>
      <c r="I9" s="1"/>
    </row>
    <row r="10" spans="2:9" ht="21" customHeight="1" x14ac:dyDescent="0.3">
      <c r="B10" s="3" t="s">
        <v>5</v>
      </c>
      <c r="C10" s="3"/>
      <c r="D10" s="3"/>
      <c r="E10" s="3"/>
      <c r="F10" s="3"/>
      <c r="G10" s="3"/>
      <c r="H10" s="3"/>
      <c r="I10" s="3"/>
    </row>
    <row r="11" spans="2:9" ht="21" customHeight="1" x14ac:dyDescent="0.3">
      <c r="B11" s="3" t="s">
        <v>6</v>
      </c>
      <c r="C11" s="3"/>
      <c r="D11" s="3"/>
      <c r="E11" s="3"/>
      <c r="F11" s="3"/>
      <c r="G11" s="3"/>
      <c r="H11" s="3"/>
      <c r="I11" s="3"/>
    </row>
    <row r="12" spans="2:9" ht="21" customHeight="1" x14ac:dyDescent="0.3">
      <c r="B12" s="3" t="s">
        <v>7</v>
      </c>
      <c r="C12" s="3"/>
      <c r="D12" s="3"/>
      <c r="E12" s="3"/>
      <c r="F12" s="3"/>
      <c r="G12" s="3"/>
      <c r="H12" s="3"/>
      <c r="I12" s="3"/>
    </row>
    <row r="13" spans="2:9" ht="21" customHeight="1" x14ac:dyDescent="0.3">
      <c r="B13" s="3" t="s">
        <v>8</v>
      </c>
      <c r="C13" s="3"/>
      <c r="D13" s="3"/>
      <c r="E13" s="3"/>
      <c r="F13" s="3"/>
      <c r="G13" s="3"/>
      <c r="H13" s="3"/>
      <c r="I13" s="3"/>
    </row>
    <row r="14" spans="2:9" ht="21" customHeight="1" x14ac:dyDescent="0.3">
      <c r="B14" s="3" t="s">
        <v>9</v>
      </c>
      <c r="C14" s="3"/>
      <c r="D14" s="3"/>
      <c r="E14" s="3"/>
      <c r="F14" s="3"/>
      <c r="G14" s="3"/>
      <c r="H14" s="3"/>
      <c r="I14" s="3"/>
    </row>
    <row r="15" spans="2:9" ht="36" customHeight="1" x14ac:dyDescent="0.3">
      <c r="B15" s="3" t="s">
        <v>10</v>
      </c>
      <c r="C15" s="3"/>
      <c r="D15" s="3"/>
      <c r="E15" s="3"/>
      <c r="F15" s="3"/>
      <c r="G15" s="3"/>
      <c r="H15" s="3"/>
      <c r="I15" s="3"/>
    </row>
    <row r="16" spans="2:9" ht="36" customHeight="1" x14ac:dyDescent="0.3">
      <c r="B16" s="3" t="s">
        <v>11</v>
      </c>
      <c r="C16" s="3"/>
      <c r="D16" s="3"/>
      <c r="E16" s="3"/>
      <c r="F16" s="3"/>
      <c r="G16" s="3"/>
      <c r="H16" s="3"/>
      <c r="I16" s="3"/>
    </row>
    <row r="17" spans="2:13" ht="36" customHeight="1" x14ac:dyDescent="0.3">
      <c r="B17" s="3" t="s">
        <v>12</v>
      </c>
      <c r="C17" s="3"/>
      <c r="D17" s="3"/>
      <c r="E17" s="3"/>
      <c r="F17" s="3"/>
      <c r="G17" s="3"/>
      <c r="H17" s="3"/>
      <c r="I17" s="3"/>
    </row>
    <row r="18" spans="2:13" ht="7.5" customHeight="1" x14ac:dyDescent="0.3">
      <c r="B18" s="3"/>
      <c r="C18" s="3"/>
      <c r="D18" s="3"/>
      <c r="E18" s="3"/>
      <c r="F18" s="3"/>
      <c r="G18" s="3"/>
      <c r="H18" s="3"/>
      <c r="I18" s="3"/>
    </row>
    <row r="19" spans="2:13" ht="21" customHeight="1" x14ac:dyDescent="0.3">
      <c r="B19" s="1" t="s">
        <v>13</v>
      </c>
      <c r="C19" s="1"/>
      <c r="D19" s="1"/>
      <c r="E19" s="1"/>
      <c r="F19" s="1"/>
      <c r="G19" s="1"/>
      <c r="H19" s="1"/>
      <c r="I19" s="1"/>
    </row>
    <row r="20" spans="2:13" ht="36" customHeight="1" x14ac:dyDescent="0.3">
      <c r="B20" s="13" t="s">
        <v>64</v>
      </c>
      <c r="C20" s="3"/>
      <c r="D20" s="3"/>
      <c r="E20" s="3"/>
      <c r="F20" s="3"/>
      <c r="G20" s="3"/>
      <c r="H20" s="3"/>
      <c r="I20" s="3"/>
    </row>
    <row r="21" spans="2:13" ht="7.5" customHeight="1" x14ac:dyDescent="0.3">
      <c r="B21" s="3"/>
      <c r="C21" s="3"/>
      <c r="D21" s="3"/>
      <c r="E21" s="3"/>
      <c r="F21" s="3"/>
      <c r="G21" s="3"/>
      <c r="H21" s="3"/>
      <c r="I21" s="3"/>
    </row>
    <row r="22" spans="2:13" ht="21" customHeight="1" x14ac:dyDescent="0.3">
      <c r="B22" s="1" t="s">
        <v>14</v>
      </c>
      <c r="C22" s="1"/>
      <c r="D22" s="1"/>
      <c r="E22" s="1"/>
      <c r="F22" s="1"/>
      <c r="G22" s="1"/>
      <c r="H22" s="1"/>
      <c r="I22" s="1"/>
    </row>
    <row r="23" spans="2:13" ht="36" customHeight="1" x14ac:dyDescent="0.3">
      <c r="B23" s="3" t="s">
        <v>15</v>
      </c>
      <c r="C23" s="3"/>
      <c r="D23" s="3"/>
      <c r="E23" s="3"/>
      <c r="F23" s="3"/>
      <c r="G23" s="3"/>
      <c r="H23" s="3"/>
      <c r="I23" s="3"/>
    </row>
    <row r="24" spans="2:13" ht="51" customHeight="1" x14ac:dyDescent="0.3">
      <c r="B24" s="3" t="s">
        <v>16</v>
      </c>
      <c r="C24" s="3"/>
      <c r="D24" s="3"/>
      <c r="E24" s="3"/>
      <c r="F24" s="3"/>
      <c r="G24" s="3"/>
      <c r="H24" s="3"/>
      <c r="I24" s="3"/>
    </row>
    <row r="25" spans="2:13" ht="15.6" x14ac:dyDescent="0.3">
      <c r="B25" s="14" t="s">
        <v>65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spans="2:13" x14ac:dyDescent="0.3">
      <c r="B26" s="15" t="s">
        <v>66</v>
      </c>
    </row>
  </sheetData>
  <mergeCells count="22">
    <mergeCell ref="B23:I23"/>
    <mergeCell ref="B24:I24"/>
    <mergeCell ref="B18:I18"/>
    <mergeCell ref="B19:I19"/>
    <mergeCell ref="B20:I20"/>
    <mergeCell ref="B21:I21"/>
    <mergeCell ref="B22:I22"/>
    <mergeCell ref="B13:I13"/>
    <mergeCell ref="B14:I14"/>
    <mergeCell ref="B15:I15"/>
    <mergeCell ref="B16:I16"/>
    <mergeCell ref="B17:I17"/>
    <mergeCell ref="B8:I8"/>
    <mergeCell ref="B9:I9"/>
    <mergeCell ref="B10:I10"/>
    <mergeCell ref="B11:I11"/>
    <mergeCell ref="B12:I12"/>
    <mergeCell ref="B2:H2"/>
    <mergeCell ref="B3:H3"/>
    <mergeCell ref="B5:I5"/>
    <mergeCell ref="B6:I6"/>
    <mergeCell ref="B7:I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1"/>
  <sheetViews>
    <sheetView showGridLines="0" zoomScaleNormal="100" workbookViewId="0">
      <pane ySplit="1" topLeftCell="A8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7" customWidth="1"/>
    <col min="3" max="9" width="15" customWidth="1"/>
  </cols>
  <sheetData>
    <row r="1" spans="1:9" ht="26.4" x14ac:dyDescent="0.3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</row>
    <row r="2" spans="1:9" x14ac:dyDescent="0.3">
      <c r="A2" s="7" t="s">
        <v>26</v>
      </c>
      <c r="B2" s="7">
        <v>2015</v>
      </c>
      <c r="C2" s="8">
        <v>3.0590000000000002</v>
      </c>
      <c r="D2" s="8">
        <v>5.1070000000000002</v>
      </c>
      <c r="E2" s="8">
        <v>3.274</v>
      </c>
      <c r="F2" s="8">
        <v>2.7719999999999998</v>
      </c>
      <c r="G2" s="8">
        <v>4.6630000000000003</v>
      </c>
      <c r="H2" s="8">
        <v>2.7850000000000001</v>
      </c>
      <c r="I2" s="8">
        <v>6.024</v>
      </c>
    </row>
    <row r="3" spans="1:9" x14ac:dyDescent="0.3">
      <c r="A3" s="7" t="s">
        <v>26</v>
      </c>
      <c r="B3" s="7">
        <v>2016</v>
      </c>
      <c r="C3" s="8">
        <v>3.427</v>
      </c>
      <c r="D3" s="8">
        <v>5.53</v>
      </c>
      <c r="E3" s="8">
        <v>3.532</v>
      </c>
      <c r="F3" s="8">
        <v>2.6859999999999999</v>
      </c>
      <c r="G3" s="8">
        <v>4.9000000000000004</v>
      </c>
      <c r="H3" s="8">
        <v>2.9470000000000001</v>
      </c>
      <c r="I3" s="8">
        <v>5.9059999999999997</v>
      </c>
    </row>
    <row r="4" spans="1:9" x14ac:dyDescent="0.3">
      <c r="A4" s="7" t="s">
        <v>26</v>
      </c>
      <c r="B4" s="7">
        <v>2017</v>
      </c>
      <c r="C4" s="8">
        <v>3.4809999999999999</v>
      </c>
      <c r="D4" s="8">
        <v>6.2569999999999997</v>
      </c>
      <c r="E4" s="8">
        <v>3.9350000000000001</v>
      </c>
      <c r="F4" s="8">
        <v>2.8159999999999998</v>
      </c>
      <c r="G4" s="8">
        <v>5.3010000000000002</v>
      </c>
      <c r="H4" s="8">
        <v>2.7909999999999999</v>
      </c>
      <c r="I4" s="8">
        <v>6.1440000000000001</v>
      </c>
    </row>
    <row r="5" spans="1:9" x14ac:dyDescent="0.3">
      <c r="A5" s="7" t="s">
        <v>26</v>
      </c>
      <c r="B5" s="7">
        <v>2018</v>
      </c>
      <c r="C5" s="8">
        <v>3.6789999999999998</v>
      </c>
      <c r="D5" s="8">
        <v>6.53</v>
      </c>
      <c r="E5" s="8">
        <v>4.0430000000000001</v>
      </c>
      <c r="F5" s="8">
        <v>3.1509999999999998</v>
      </c>
      <c r="G5" s="8">
        <v>5.343</v>
      </c>
      <c r="H5" s="8">
        <v>3.343</v>
      </c>
      <c r="I5" s="8">
        <v>6.2240000000000002</v>
      </c>
    </row>
    <row r="6" spans="1:9" x14ac:dyDescent="0.3">
      <c r="A6" s="7" t="s">
        <v>26</v>
      </c>
      <c r="B6" s="7">
        <v>2019</v>
      </c>
      <c r="C6" s="8">
        <v>4.01</v>
      </c>
      <c r="D6" s="8">
        <v>6.79</v>
      </c>
      <c r="E6" s="8">
        <v>4.4909999999999997</v>
      </c>
      <c r="F6" s="8">
        <v>3.7309999999999999</v>
      </c>
      <c r="G6" s="8">
        <v>5.8259999999999996</v>
      </c>
      <c r="H6" s="8">
        <v>3.68</v>
      </c>
      <c r="I6" s="8">
        <v>6.6559999999999997</v>
      </c>
    </row>
    <row r="7" spans="1:9" x14ac:dyDescent="0.3">
      <c r="A7" s="7" t="s">
        <v>26</v>
      </c>
      <c r="B7" s="7">
        <v>2020</v>
      </c>
      <c r="C7" s="8">
        <v>4.9539999999999997</v>
      </c>
      <c r="D7" s="8">
        <v>7.3460000000000001</v>
      </c>
      <c r="E7" s="8">
        <v>4.617</v>
      </c>
      <c r="F7" s="8">
        <v>4.4080000000000004</v>
      </c>
      <c r="G7" s="8">
        <v>6.6449999999999996</v>
      </c>
      <c r="H7" s="8">
        <v>4.5919999999999996</v>
      </c>
      <c r="I7" s="8">
        <v>6.09</v>
      </c>
    </row>
    <row r="8" spans="1:9" x14ac:dyDescent="0.3">
      <c r="A8" s="7" t="s">
        <v>26</v>
      </c>
      <c r="B8" s="7">
        <v>2021</v>
      </c>
      <c r="C8" s="8">
        <v>5.6609999999999996</v>
      </c>
      <c r="D8" s="8">
        <v>7.9690000000000003</v>
      </c>
      <c r="E8" s="8">
        <v>4.9569999999999999</v>
      </c>
      <c r="F8" s="8">
        <v>5.3460000000000001</v>
      </c>
      <c r="G8" s="8">
        <v>6.6420000000000003</v>
      </c>
      <c r="H8" s="8">
        <v>5.5780000000000003</v>
      </c>
      <c r="I8" s="8">
        <v>6.8940000000000001</v>
      </c>
    </row>
    <row r="9" spans="1:9" x14ac:dyDescent="0.3">
      <c r="A9" s="7" t="s">
        <v>26</v>
      </c>
      <c r="B9" s="7">
        <v>2022</v>
      </c>
      <c r="C9" s="8">
        <v>6.415</v>
      </c>
      <c r="D9" s="8">
        <v>8.4559999999999995</v>
      </c>
      <c r="E9" s="8">
        <v>5.1130000000000004</v>
      </c>
      <c r="F9" s="8">
        <v>6.056</v>
      </c>
      <c r="G9" s="8">
        <v>6.3150000000000004</v>
      </c>
      <c r="H9" s="8">
        <v>5.7590000000000003</v>
      </c>
      <c r="I9" s="8">
        <v>7.3860000000000001</v>
      </c>
    </row>
    <row r="10" spans="1:9" x14ac:dyDescent="0.3">
      <c r="A10" s="7" t="s">
        <v>26</v>
      </c>
      <c r="B10" s="7">
        <v>2023</v>
      </c>
      <c r="C10" s="8">
        <v>6.59</v>
      </c>
      <c r="D10" s="8">
        <v>9.0540000000000003</v>
      </c>
      <c r="E10" s="8">
        <v>5.5190000000000001</v>
      </c>
      <c r="F10" s="8">
        <v>6.5149999999999997</v>
      </c>
      <c r="G10" s="8">
        <v>6.9279999999999999</v>
      </c>
      <c r="H10" s="8">
        <v>6.0839999999999996</v>
      </c>
      <c r="I10" s="8">
        <v>7.399</v>
      </c>
    </row>
    <row r="11" spans="1:9" x14ac:dyDescent="0.3">
      <c r="A11" s="7" t="s">
        <v>26</v>
      </c>
      <c r="B11" s="7">
        <v>2024</v>
      </c>
      <c r="C11" s="8">
        <v>6.8410000000000002</v>
      </c>
      <c r="D11" s="8">
        <v>9.4510000000000005</v>
      </c>
      <c r="E11" s="8">
        <v>5.7590000000000003</v>
      </c>
      <c r="F11" s="8">
        <v>6.3570000000000002</v>
      </c>
      <c r="G11" s="8">
        <v>7.1139999999999999</v>
      </c>
      <c r="H11" s="8">
        <v>6.0229999999999997</v>
      </c>
      <c r="I11" s="8">
        <v>7.1589999999999998</v>
      </c>
    </row>
    <row r="12" spans="1:9" x14ac:dyDescent="0.3">
      <c r="A12" s="7" t="s">
        <v>27</v>
      </c>
      <c r="B12" s="7">
        <v>2015</v>
      </c>
      <c r="C12" s="8">
        <v>2.9809999999999999</v>
      </c>
      <c r="D12" s="8">
        <v>5.88</v>
      </c>
      <c r="E12" s="8">
        <v>3.4470000000000001</v>
      </c>
      <c r="F12" s="8">
        <v>3.0449999999999999</v>
      </c>
      <c r="G12" s="8">
        <v>3.3660000000000001</v>
      </c>
      <c r="H12" s="8">
        <v>3.0030000000000001</v>
      </c>
      <c r="I12" s="8">
        <v>5.8860000000000001</v>
      </c>
    </row>
    <row r="13" spans="1:9" x14ac:dyDescent="0.3">
      <c r="A13" s="7" t="s">
        <v>27</v>
      </c>
      <c r="B13" s="7">
        <v>2016</v>
      </c>
      <c r="C13" s="8">
        <v>2.996</v>
      </c>
      <c r="D13" s="8">
        <v>5.9930000000000003</v>
      </c>
      <c r="E13" s="8">
        <v>3.766</v>
      </c>
      <c r="F13" s="8">
        <v>2.91</v>
      </c>
      <c r="G13" s="8">
        <v>3.5329999999999999</v>
      </c>
      <c r="H13" s="8">
        <v>3.14</v>
      </c>
      <c r="I13" s="8">
        <v>6.1360000000000001</v>
      </c>
    </row>
    <row r="14" spans="1:9" x14ac:dyDescent="0.3">
      <c r="A14" s="7" t="s">
        <v>27</v>
      </c>
      <c r="B14" s="7">
        <v>2017</v>
      </c>
      <c r="C14" s="8">
        <v>3.3220000000000001</v>
      </c>
      <c r="D14" s="8">
        <v>6.6150000000000002</v>
      </c>
      <c r="E14" s="8">
        <v>4.3639999999999999</v>
      </c>
      <c r="F14" s="8">
        <v>3.0249999999999999</v>
      </c>
      <c r="G14" s="8">
        <v>3.9260000000000002</v>
      </c>
      <c r="H14" s="8">
        <v>3.1059999999999999</v>
      </c>
      <c r="I14" s="8">
        <v>5.8540000000000001</v>
      </c>
    </row>
    <row r="15" spans="1:9" x14ac:dyDescent="0.3">
      <c r="A15" s="7" t="s">
        <v>27</v>
      </c>
      <c r="B15" s="7">
        <v>2018</v>
      </c>
      <c r="C15" s="8">
        <v>3.7469999999999999</v>
      </c>
      <c r="D15" s="8">
        <v>6.7089999999999996</v>
      </c>
      <c r="E15" s="8">
        <v>4.2039999999999997</v>
      </c>
      <c r="F15" s="8">
        <v>3.3460000000000001</v>
      </c>
      <c r="G15" s="8">
        <v>3.7440000000000002</v>
      </c>
      <c r="H15" s="8">
        <v>3.07</v>
      </c>
      <c r="I15" s="8">
        <v>6.0919999999999996</v>
      </c>
    </row>
    <row r="16" spans="1:9" x14ac:dyDescent="0.3">
      <c r="A16" s="7" t="s">
        <v>27</v>
      </c>
      <c r="B16" s="7">
        <v>2019</v>
      </c>
      <c r="C16" s="8">
        <v>3.8959999999999999</v>
      </c>
      <c r="D16" s="8">
        <v>7.3630000000000004</v>
      </c>
      <c r="E16" s="8">
        <v>4.67</v>
      </c>
      <c r="F16" s="8">
        <v>4.3550000000000004</v>
      </c>
      <c r="G16" s="8">
        <v>4.4710000000000001</v>
      </c>
      <c r="H16" s="8">
        <v>3.41</v>
      </c>
      <c r="I16" s="8">
        <v>6.5540000000000003</v>
      </c>
    </row>
    <row r="17" spans="1:9" x14ac:dyDescent="0.3">
      <c r="A17" s="7" t="s">
        <v>27</v>
      </c>
      <c r="B17" s="7">
        <v>2020</v>
      </c>
      <c r="C17" s="8">
        <v>4.71</v>
      </c>
      <c r="D17" s="8">
        <v>7.91</v>
      </c>
      <c r="E17" s="8">
        <v>4.7089999999999996</v>
      </c>
      <c r="F17" s="8">
        <v>5.3109999999999999</v>
      </c>
      <c r="G17" s="8">
        <v>5.2720000000000002</v>
      </c>
      <c r="H17" s="8">
        <v>4.5259999999999998</v>
      </c>
      <c r="I17" s="8">
        <v>6.2130000000000001</v>
      </c>
    </row>
    <row r="18" spans="1:9" x14ac:dyDescent="0.3">
      <c r="A18" s="7" t="s">
        <v>27</v>
      </c>
      <c r="B18" s="7">
        <v>2021</v>
      </c>
      <c r="C18" s="8">
        <v>5.3929999999999998</v>
      </c>
      <c r="D18" s="8">
        <v>8.5749999999999993</v>
      </c>
      <c r="E18" s="8">
        <v>5.1790000000000003</v>
      </c>
      <c r="F18" s="8">
        <v>6.1020000000000003</v>
      </c>
      <c r="G18" s="8">
        <v>5.1230000000000002</v>
      </c>
      <c r="H18" s="8">
        <v>5.7679999999999998</v>
      </c>
      <c r="I18" s="8">
        <v>7.2530000000000001</v>
      </c>
    </row>
    <row r="19" spans="1:9" x14ac:dyDescent="0.3">
      <c r="A19" s="7" t="s">
        <v>27</v>
      </c>
      <c r="B19" s="7">
        <v>2022</v>
      </c>
      <c r="C19" s="8">
        <v>6.1859999999999999</v>
      </c>
      <c r="D19" s="8">
        <v>8.8219999999999992</v>
      </c>
      <c r="E19" s="8">
        <v>5.4180000000000001</v>
      </c>
      <c r="F19" s="8">
        <v>6.516</v>
      </c>
      <c r="G19" s="8">
        <v>4.9690000000000003</v>
      </c>
      <c r="H19" s="8">
        <v>6.3150000000000004</v>
      </c>
      <c r="I19" s="8">
        <v>6.8380000000000001</v>
      </c>
    </row>
    <row r="20" spans="1:9" x14ac:dyDescent="0.3">
      <c r="A20" s="7" t="s">
        <v>27</v>
      </c>
      <c r="B20" s="7">
        <v>2023</v>
      </c>
      <c r="C20" s="8">
        <v>6.476</v>
      </c>
      <c r="D20" s="8">
        <v>9.4380000000000006</v>
      </c>
      <c r="E20" s="8">
        <v>5.8810000000000002</v>
      </c>
      <c r="F20" s="8">
        <v>6.47</v>
      </c>
      <c r="G20" s="8">
        <v>5.165</v>
      </c>
      <c r="H20" s="8">
        <v>6.6310000000000002</v>
      </c>
      <c r="I20" s="8">
        <v>6.883</v>
      </c>
    </row>
    <row r="21" spans="1:9" x14ac:dyDescent="0.3">
      <c r="A21" s="7" t="s">
        <v>27</v>
      </c>
      <c r="B21" s="7">
        <v>2024</v>
      </c>
      <c r="C21" s="8">
        <v>6.6289999999999996</v>
      </c>
      <c r="D21" s="8">
        <v>9.7240000000000002</v>
      </c>
      <c r="E21" s="8">
        <v>6.2960000000000003</v>
      </c>
      <c r="F21" s="8">
        <v>6.7359999999999998</v>
      </c>
      <c r="G21" s="8">
        <v>5.8390000000000004</v>
      </c>
      <c r="H21" s="8">
        <v>6.4690000000000003</v>
      </c>
      <c r="I21" s="8">
        <v>7.05</v>
      </c>
    </row>
    <row r="22" spans="1:9" x14ac:dyDescent="0.3">
      <c r="A22" s="7" t="s">
        <v>28</v>
      </c>
      <c r="B22" s="7">
        <v>2015</v>
      </c>
      <c r="C22" s="8">
        <v>3.613</v>
      </c>
      <c r="D22" s="8">
        <v>4.5129999999999999</v>
      </c>
      <c r="E22" s="8">
        <v>3.8109999999999999</v>
      </c>
      <c r="F22" s="8">
        <v>3.5979999999999999</v>
      </c>
      <c r="G22" s="8">
        <v>3.6459999999999999</v>
      </c>
      <c r="H22" s="8">
        <v>3.653</v>
      </c>
      <c r="I22" s="8">
        <v>5.9809999999999999</v>
      </c>
    </row>
    <row r="23" spans="1:9" x14ac:dyDescent="0.3">
      <c r="A23" s="7" t="s">
        <v>28</v>
      </c>
      <c r="B23" s="7">
        <v>2016</v>
      </c>
      <c r="C23" s="8">
        <v>3.2269999999999999</v>
      </c>
      <c r="D23" s="8">
        <v>4.6769999999999996</v>
      </c>
      <c r="E23" s="8">
        <v>4.2960000000000003</v>
      </c>
      <c r="F23" s="8">
        <v>3.2250000000000001</v>
      </c>
      <c r="G23" s="8">
        <v>3.6379999999999999</v>
      </c>
      <c r="H23" s="8">
        <v>3.1429999999999998</v>
      </c>
      <c r="I23" s="8">
        <v>6.0010000000000003</v>
      </c>
    </row>
    <row r="24" spans="1:9" x14ac:dyDescent="0.3">
      <c r="A24" s="7" t="s">
        <v>28</v>
      </c>
      <c r="B24" s="7">
        <v>2017</v>
      </c>
      <c r="C24" s="8">
        <v>3.476</v>
      </c>
      <c r="D24" s="8">
        <v>5.0750000000000002</v>
      </c>
      <c r="E24" s="8">
        <v>4.6509999999999998</v>
      </c>
      <c r="F24" s="8">
        <v>3.61</v>
      </c>
      <c r="G24" s="8">
        <v>4.3259999999999996</v>
      </c>
      <c r="H24" s="8">
        <v>3.2480000000000002</v>
      </c>
      <c r="I24" s="8">
        <v>6.63</v>
      </c>
    </row>
    <row r="25" spans="1:9" x14ac:dyDescent="0.3">
      <c r="A25" s="7" t="s">
        <v>28</v>
      </c>
      <c r="B25" s="7">
        <v>2018</v>
      </c>
      <c r="C25" s="8">
        <v>3.5510000000000002</v>
      </c>
      <c r="D25" s="8">
        <v>5.3259999999999996</v>
      </c>
      <c r="E25" s="8">
        <v>4.7720000000000002</v>
      </c>
      <c r="F25" s="8">
        <v>3.8969999999999998</v>
      </c>
      <c r="G25" s="8">
        <v>4.0389999999999997</v>
      </c>
      <c r="H25" s="8">
        <v>3.4860000000000002</v>
      </c>
      <c r="I25" s="8">
        <v>6.1870000000000003</v>
      </c>
    </row>
    <row r="26" spans="1:9" x14ac:dyDescent="0.3">
      <c r="A26" s="7" t="s">
        <v>28</v>
      </c>
      <c r="B26" s="7">
        <v>2019</v>
      </c>
      <c r="C26" s="8">
        <v>4.1180000000000003</v>
      </c>
      <c r="D26" s="8">
        <v>5.891</v>
      </c>
      <c r="E26" s="8">
        <v>5.0579999999999998</v>
      </c>
      <c r="F26" s="8">
        <v>4.4450000000000003</v>
      </c>
      <c r="G26" s="8">
        <v>4.5380000000000003</v>
      </c>
      <c r="H26" s="8">
        <v>3.6240000000000001</v>
      </c>
      <c r="I26" s="8">
        <v>6.4390000000000001</v>
      </c>
    </row>
    <row r="27" spans="1:9" x14ac:dyDescent="0.3">
      <c r="A27" s="7" t="s">
        <v>28</v>
      </c>
      <c r="B27" s="7">
        <v>2020</v>
      </c>
      <c r="C27" s="8">
        <v>5.0190000000000001</v>
      </c>
      <c r="D27" s="8">
        <v>6.3810000000000002</v>
      </c>
      <c r="E27" s="8">
        <v>5.1440000000000001</v>
      </c>
      <c r="F27" s="8">
        <v>5.69</v>
      </c>
      <c r="G27" s="8">
        <v>5.3029999999999999</v>
      </c>
      <c r="H27" s="8">
        <v>4.8079999999999998</v>
      </c>
      <c r="I27" s="8">
        <v>6.1589999999999998</v>
      </c>
    </row>
    <row r="28" spans="1:9" x14ac:dyDescent="0.3">
      <c r="A28" s="7" t="s">
        <v>28</v>
      </c>
      <c r="B28" s="7">
        <v>2021</v>
      </c>
      <c r="C28" s="8">
        <v>5.7629999999999999</v>
      </c>
      <c r="D28" s="8">
        <v>6.4290000000000003</v>
      </c>
      <c r="E28" s="8">
        <v>5.4980000000000002</v>
      </c>
      <c r="F28" s="8">
        <v>6.319</v>
      </c>
      <c r="G28" s="8">
        <v>5.944</v>
      </c>
      <c r="H28" s="8">
        <v>6.3239999999999998</v>
      </c>
      <c r="I28" s="8">
        <v>6.5069999999999997</v>
      </c>
    </row>
    <row r="29" spans="1:9" x14ac:dyDescent="0.3">
      <c r="A29" s="7" t="s">
        <v>28</v>
      </c>
      <c r="B29" s="7">
        <v>2022</v>
      </c>
      <c r="C29" s="8">
        <v>6.2539999999999996</v>
      </c>
      <c r="D29" s="8">
        <v>7.14</v>
      </c>
      <c r="E29" s="8">
        <v>5.8529999999999998</v>
      </c>
      <c r="F29" s="8">
        <v>6.9279999999999999</v>
      </c>
      <c r="G29" s="8">
        <v>5.508</v>
      </c>
      <c r="H29" s="8">
        <v>6.875</v>
      </c>
      <c r="I29" s="8">
        <v>7.077</v>
      </c>
    </row>
    <row r="30" spans="1:9" x14ac:dyDescent="0.3">
      <c r="A30" s="7" t="s">
        <v>28</v>
      </c>
      <c r="B30" s="7">
        <v>2023</v>
      </c>
      <c r="C30" s="8">
        <v>6.6289999999999996</v>
      </c>
      <c r="D30" s="8">
        <v>7.4560000000000004</v>
      </c>
      <c r="E30" s="8">
        <v>6.1180000000000003</v>
      </c>
      <c r="F30" s="8">
        <v>6.7960000000000003</v>
      </c>
      <c r="G30" s="8">
        <v>5.4550000000000001</v>
      </c>
      <c r="H30" s="8">
        <v>7.04</v>
      </c>
      <c r="I30" s="8">
        <v>7.14</v>
      </c>
    </row>
    <row r="31" spans="1:9" x14ac:dyDescent="0.3">
      <c r="A31" s="7" t="s">
        <v>28</v>
      </c>
      <c r="B31" s="7">
        <v>2024</v>
      </c>
      <c r="C31" s="8">
        <v>7.1369999999999996</v>
      </c>
      <c r="D31" s="8">
        <v>8.01</v>
      </c>
      <c r="E31" s="8">
        <v>6.5339999999999998</v>
      </c>
      <c r="F31" s="8">
        <v>7.25</v>
      </c>
      <c r="G31" s="8">
        <v>6.4109999999999996</v>
      </c>
      <c r="H31" s="8">
        <v>7.0140000000000002</v>
      </c>
      <c r="I31" s="8">
        <v>7.4080000000000004</v>
      </c>
    </row>
    <row r="32" spans="1:9" x14ac:dyDescent="0.3">
      <c r="A32" s="7" t="s">
        <v>29</v>
      </c>
      <c r="B32" s="7">
        <v>2015</v>
      </c>
      <c r="C32" s="8">
        <v>3.3410000000000002</v>
      </c>
      <c r="D32" s="8">
        <v>4.75</v>
      </c>
      <c r="E32" s="8">
        <v>3.6930000000000001</v>
      </c>
      <c r="F32" s="8">
        <v>3.5539999999999998</v>
      </c>
      <c r="G32" s="8">
        <v>3.5350000000000001</v>
      </c>
      <c r="H32" s="8">
        <v>3.3210000000000002</v>
      </c>
      <c r="I32" s="8">
        <v>5.68</v>
      </c>
    </row>
    <row r="33" spans="1:9" x14ac:dyDescent="0.3">
      <c r="A33" s="7" t="s">
        <v>29</v>
      </c>
      <c r="B33" s="7">
        <v>2016</v>
      </c>
      <c r="C33" s="8">
        <v>3.302</v>
      </c>
      <c r="D33" s="8">
        <v>5.1360000000000001</v>
      </c>
      <c r="E33" s="8">
        <v>4.476</v>
      </c>
      <c r="F33" s="8">
        <v>3.68</v>
      </c>
      <c r="G33" s="8">
        <v>3.9140000000000001</v>
      </c>
      <c r="H33" s="8">
        <v>3.7589999999999999</v>
      </c>
      <c r="I33" s="8">
        <v>6.2640000000000002</v>
      </c>
    </row>
    <row r="34" spans="1:9" x14ac:dyDescent="0.3">
      <c r="A34" s="7" t="s">
        <v>29</v>
      </c>
      <c r="B34" s="7">
        <v>2017</v>
      </c>
      <c r="C34" s="8">
        <v>3.504</v>
      </c>
      <c r="D34" s="8">
        <v>5.6059999999999999</v>
      </c>
      <c r="E34" s="8">
        <v>4.74</v>
      </c>
      <c r="F34" s="8">
        <v>3.7</v>
      </c>
      <c r="G34" s="8">
        <v>4.0259999999999998</v>
      </c>
      <c r="H34" s="8">
        <v>3.5230000000000001</v>
      </c>
      <c r="I34" s="8">
        <v>6.1749999999999998</v>
      </c>
    </row>
    <row r="35" spans="1:9" x14ac:dyDescent="0.3">
      <c r="A35" s="7" t="s">
        <v>29</v>
      </c>
      <c r="B35" s="7">
        <v>2018</v>
      </c>
      <c r="C35" s="8">
        <v>3.5750000000000002</v>
      </c>
      <c r="D35" s="8">
        <v>5.9420000000000002</v>
      </c>
      <c r="E35" s="8">
        <v>4.9400000000000004</v>
      </c>
      <c r="F35" s="8">
        <v>4.1109999999999998</v>
      </c>
      <c r="G35" s="8">
        <v>4.2380000000000004</v>
      </c>
      <c r="H35" s="8">
        <v>3.7160000000000002</v>
      </c>
      <c r="I35" s="8">
        <v>6.3579999999999997</v>
      </c>
    </row>
    <row r="36" spans="1:9" x14ac:dyDescent="0.3">
      <c r="A36" s="7" t="s">
        <v>29</v>
      </c>
      <c r="B36" s="7">
        <v>2019</v>
      </c>
      <c r="C36" s="8">
        <v>4.0460000000000003</v>
      </c>
      <c r="D36" s="8">
        <v>6.577</v>
      </c>
      <c r="E36" s="8">
        <v>5.0010000000000003</v>
      </c>
      <c r="F36" s="8">
        <v>4.2050000000000001</v>
      </c>
      <c r="G36" s="8">
        <v>4.7220000000000004</v>
      </c>
      <c r="H36" s="8">
        <v>3.9</v>
      </c>
      <c r="I36" s="8">
        <v>6.3810000000000002</v>
      </c>
    </row>
    <row r="37" spans="1:9" x14ac:dyDescent="0.3">
      <c r="A37" s="7" t="s">
        <v>29</v>
      </c>
      <c r="B37" s="7">
        <v>2020</v>
      </c>
      <c r="C37" s="8">
        <v>4.9059999999999997</v>
      </c>
      <c r="D37" s="8">
        <v>7.1349999999999998</v>
      </c>
      <c r="E37" s="8">
        <v>5.343</v>
      </c>
      <c r="F37" s="8">
        <v>5.1239999999999997</v>
      </c>
      <c r="G37" s="8">
        <v>5.3949999999999996</v>
      </c>
      <c r="H37" s="8">
        <v>5.3209999999999997</v>
      </c>
      <c r="I37" s="8">
        <v>6.4630000000000001</v>
      </c>
    </row>
    <row r="38" spans="1:9" x14ac:dyDescent="0.3">
      <c r="A38" s="7" t="s">
        <v>29</v>
      </c>
      <c r="B38" s="7">
        <v>2021</v>
      </c>
      <c r="C38" s="8">
        <v>5.7930000000000001</v>
      </c>
      <c r="D38" s="8">
        <v>7.4349999999999996</v>
      </c>
      <c r="E38" s="8">
        <v>5.6820000000000004</v>
      </c>
      <c r="F38" s="8">
        <v>6.3769999999999998</v>
      </c>
      <c r="G38" s="8">
        <v>5.4980000000000002</v>
      </c>
      <c r="H38" s="8">
        <v>6.4980000000000002</v>
      </c>
      <c r="I38" s="8">
        <v>6.306</v>
      </c>
    </row>
    <row r="39" spans="1:9" x14ac:dyDescent="0.3">
      <c r="A39" s="7" t="s">
        <v>29</v>
      </c>
      <c r="B39" s="7">
        <v>2022</v>
      </c>
      <c r="C39" s="8">
        <v>6.3040000000000003</v>
      </c>
      <c r="D39" s="8">
        <v>8.2449999999999992</v>
      </c>
      <c r="E39" s="8">
        <v>5.8419999999999996</v>
      </c>
      <c r="F39" s="8">
        <v>6.6239999999999997</v>
      </c>
      <c r="G39" s="8">
        <v>5.2709999999999999</v>
      </c>
      <c r="H39" s="8">
        <v>6.8380000000000001</v>
      </c>
      <c r="I39" s="8">
        <v>7.2670000000000003</v>
      </c>
    </row>
    <row r="40" spans="1:9" x14ac:dyDescent="0.3">
      <c r="A40" s="7" t="s">
        <v>29</v>
      </c>
      <c r="B40" s="7">
        <v>2023</v>
      </c>
      <c r="C40" s="8">
        <v>6.8419999999999996</v>
      </c>
      <c r="D40" s="8">
        <v>8.4649999999999999</v>
      </c>
      <c r="E40" s="8">
        <v>6.3410000000000002</v>
      </c>
      <c r="F40" s="8">
        <v>6.9169999999999998</v>
      </c>
      <c r="G40" s="8">
        <v>5.7720000000000002</v>
      </c>
      <c r="H40" s="8">
        <v>6.734</v>
      </c>
      <c r="I40" s="8">
        <v>6.9909999999999997</v>
      </c>
    </row>
    <row r="41" spans="1:9" x14ac:dyDescent="0.3">
      <c r="A41" s="7" t="s">
        <v>29</v>
      </c>
      <c r="B41" s="7">
        <v>2024</v>
      </c>
      <c r="C41" s="8">
        <v>6.8959999999999999</v>
      </c>
      <c r="D41" s="8">
        <v>9.1859999999999999</v>
      </c>
      <c r="E41" s="8">
        <v>6.4050000000000002</v>
      </c>
      <c r="F41" s="8">
        <v>7.2060000000000004</v>
      </c>
      <c r="G41" s="8">
        <v>6.1989999999999998</v>
      </c>
      <c r="H41" s="8">
        <v>6.8440000000000003</v>
      </c>
      <c r="I41" s="8">
        <v>7.5650000000000004</v>
      </c>
    </row>
    <row r="42" spans="1:9" x14ac:dyDescent="0.3">
      <c r="A42" s="7" t="s">
        <v>30</v>
      </c>
      <c r="B42" s="7">
        <v>2015</v>
      </c>
      <c r="C42" s="8">
        <v>4.74</v>
      </c>
      <c r="D42" s="8">
        <v>4.1849999999999996</v>
      </c>
      <c r="E42" s="8">
        <v>5.1310000000000002</v>
      </c>
      <c r="F42" s="8">
        <v>4.8129999999999997</v>
      </c>
      <c r="G42" s="8">
        <v>4.6020000000000003</v>
      </c>
      <c r="H42" s="8">
        <v>4.5369999999999999</v>
      </c>
      <c r="I42" s="8">
        <v>6.3929999999999998</v>
      </c>
    </row>
    <row r="43" spans="1:9" x14ac:dyDescent="0.3">
      <c r="A43" s="7" t="s">
        <v>30</v>
      </c>
      <c r="B43" s="7">
        <v>2016</v>
      </c>
      <c r="C43" s="8">
        <v>4.7629999999999999</v>
      </c>
      <c r="D43" s="8">
        <v>4.7590000000000003</v>
      </c>
      <c r="E43" s="8">
        <v>5.3959999999999999</v>
      </c>
      <c r="F43" s="8">
        <v>4.5650000000000004</v>
      </c>
      <c r="G43" s="8">
        <v>5.2519999999999998</v>
      </c>
      <c r="H43" s="8">
        <v>4.6449999999999996</v>
      </c>
      <c r="I43" s="8">
        <v>6.4779999999999998</v>
      </c>
    </row>
    <row r="44" spans="1:9" x14ac:dyDescent="0.3">
      <c r="A44" s="7" t="s">
        <v>30</v>
      </c>
      <c r="B44" s="7">
        <v>2017</v>
      </c>
      <c r="C44" s="8">
        <v>4.9989999999999997</v>
      </c>
      <c r="D44" s="8">
        <v>5.2530000000000001</v>
      </c>
      <c r="E44" s="8">
        <v>5.68</v>
      </c>
      <c r="F44" s="8">
        <v>4.7210000000000001</v>
      </c>
      <c r="G44" s="8">
        <v>5.4329999999999998</v>
      </c>
      <c r="H44" s="8">
        <v>4.6459999999999999</v>
      </c>
      <c r="I44" s="8">
        <v>6.5570000000000004</v>
      </c>
    </row>
    <row r="45" spans="1:9" x14ac:dyDescent="0.3">
      <c r="A45" s="7" t="s">
        <v>30</v>
      </c>
      <c r="B45" s="7">
        <v>2018</v>
      </c>
      <c r="C45" s="8">
        <v>5.2060000000000004</v>
      </c>
      <c r="D45" s="8">
        <v>5.5350000000000001</v>
      </c>
      <c r="E45" s="8">
        <v>5.9619999999999997</v>
      </c>
      <c r="F45" s="8">
        <v>5.3570000000000002</v>
      </c>
      <c r="G45" s="8">
        <v>5.9029999999999996</v>
      </c>
      <c r="H45" s="8">
        <v>4.8029999999999999</v>
      </c>
      <c r="I45" s="8">
        <v>6.9859999999999998</v>
      </c>
    </row>
    <row r="46" spans="1:9" x14ac:dyDescent="0.3">
      <c r="A46" s="7" t="s">
        <v>30</v>
      </c>
      <c r="B46" s="7">
        <v>2019</v>
      </c>
      <c r="C46" s="8">
        <v>5.9260000000000002</v>
      </c>
      <c r="D46" s="8">
        <v>5.968</v>
      </c>
      <c r="E46" s="8">
        <v>5.9020000000000001</v>
      </c>
      <c r="F46" s="8">
        <v>5.375</v>
      </c>
      <c r="G46" s="8">
        <v>5.7590000000000003</v>
      </c>
      <c r="H46" s="8">
        <v>5.2190000000000003</v>
      </c>
      <c r="I46" s="8">
        <v>6.5179999999999998</v>
      </c>
    </row>
    <row r="47" spans="1:9" x14ac:dyDescent="0.3">
      <c r="A47" s="7" t="s">
        <v>30</v>
      </c>
      <c r="B47" s="7">
        <v>2020</v>
      </c>
      <c r="C47" s="8">
        <v>6.5830000000000002</v>
      </c>
      <c r="D47" s="8">
        <v>6.83</v>
      </c>
      <c r="E47" s="8">
        <v>6.5449999999999999</v>
      </c>
      <c r="F47" s="8">
        <v>6.2009999999999996</v>
      </c>
      <c r="G47" s="8">
        <v>6.93</v>
      </c>
      <c r="H47" s="8">
        <v>5.827</v>
      </c>
      <c r="I47" s="8">
        <v>6.1660000000000004</v>
      </c>
    </row>
    <row r="48" spans="1:9" x14ac:dyDescent="0.3">
      <c r="A48" s="7" t="s">
        <v>30</v>
      </c>
      <c r="B48" s="7">
        <v>2021</v>
      </c>
      <c r="C48" s="8">
        <v>7.4109999999999996</v>
      </c>
      <c r="D48" s="8">
        <v>7.1079999999999997</v>
      </c>
      <c r="E48" s="8">
        <v>6.5629999999999997</v>
      </c>
      <c r="F48" s="8">
        <v>7.181</v>
      </c>
      <c r="G48" s="8">
        <v>7.1230000000000002</v>
      </c>
      <c r="H48" s="8">
        <v>7.1040000000000001</v>
      </c>
      <c r="I48" s="8">
        <v>6.7160000000000002</v>
      </c>
    </row>
    <row r="49" spans="1:9" x14ac:dyDescent="0.3">
      <c r="A49" s="7" t="s">
        <v>30</v>
      </c>
      <c r="B49" s="7">
        <v>2022</v>
      </c>
      <c r="C49" s="8">
        <v>7.9960000000000004</v>
      </c>
      <c r="D49" s="8">
        <v>7.8819999999999997</v>
      </c>
      <c r="E49" s="8">
        <v>7.101</v>
      </c>
      <c r="F49" s="8">
        <v>7.66</v>
      </c>
      <c r="G49" s="8">
        <v>6.77</v>
      </c>
      <c r="H49" s="8">
        <v>7.6189999999999998</v>
      </c>
      <c r="I49" s="8">
        <v>7.375</v>
      </c>
    </row>
    <row r="50" spans="1:9" x14ac:dyDescent="0.3">
      <c r="A50" s="7" t="s">
        <v>30</v>
      </c>
      <c r="B50" s="7">
        <v>2023</v>
      </c>
      <c r="C50" s="8">
        <v>8.2940000000000005</v>
      </c>
      <c r="D50" s="8">
        <v>7.7439999999999998</v>
      </c>
      <c r="E50" s="8">
        <v>7.3739999999999997</v>
      </c>
      <c r="F50" s="8">
        <v>7.9249999999999998</v>
      </c>
      <c r="G50" s="8">
        <v>7.1779999999999999</v>
      </c>
      <c r="H50" s="8">
        <v>8.01</v>
      </c>
      <c r="I50" s="8">
        <v>7.0469999999999997</v>
      </c>
    </row>
    <row r="51" spans="1:9" x14ac:dyDescent="0.3">
      <c r="A51" s="7" t="s">
        <v>30</v>
      </c>
      <c r="B51" s="7">
        <v>2024</v>
      </c>
      <c r="C51" s="8">
        <v>8.4440000000000008</v>
      </c>
      <c r="D51" s="8">
        <v>8.3149999999999995</v>
      </c>
      <c r="E51" s="8">
        <v>7.6109999999999998</v>
      </c>
      <c r="F51" s="8">
        <v>8.0419999999999998</v>
      </c>
      <c r="G51" s="8">
        <v>7.306</v>
      </c>
      <c r="H51" s="8">
        <v>8.0820000000000007</v>
      </c>
      <c r="I51" s="8">
        <v>7.6219999999999999</v>
      </c>
    </row>
    <row r="52" spans="1:9" x14ac:dyDescent="0.3">
      <c r="A52" s="7" t="s">
        <v>31</v>
      </c>
      <c r="B52" s="7">
        <v>2015</v>
      </c>
      <c r="C52" s="8">
        <v>3.5960000000000001</v>
      </c>
      <c r="D52" s="8">
        <v>5.1609999999999996</v>
      </c>
      <c r="E52" s="8">
        <v>4.1420000000000003</v>
      </c>
      <c r="F52" s="8">
        <v>3.823</v>
      </c>
      <c r="G52" s="8">
        <v>3.7959999999999998</v>
      </c>
      <c r="H52" s="8">
        <v>3.895</v>
      </c>
      <c r="I52" s="8">
        <v>5.9770000000000003</v>
      </c>
    </row>
    <row r="53" spans="1:9" x14ac:dyDescent="0.3">
      <c r="A53" s="7" t="s">
        <v>31</v>
      </c>
      <c r="B53" s="7">
        <v>2016</v>
      </c>
      <c r="C53" s="8">
        <v>3.452</v>
      </c>
      <c r="D53" s="8">
        <v>5.5090000000000003</v>
      </c>
      <c r="E53" s="8">
        <v>4.0339999999999998</v>
      </c>
      <c r="F53" s="8">
        <v>3.8940000000000001</v>
      </c>
      <c r="G53" s="8">
        <v>4.0990000000000002</v>
      </c>
      <c r="H53" s="8">
        <v>3.61</v>
      </c>
      <c r="I53" s="8">
        <v>5.9059999999999997</v>
      </c>
    </row>
    <row r="54" spans="1:9" x14ac:dyDescent="0.3">
      <c r="A54" s="7" t="s">
        <v>31</v>
      </c>
      <c r="B54" s="7">
        <v>2017</v>
      </c>
      <c r="C54" s="8">
        <v>3.7890000000000001</v>
      </c>
      <c r="D54" s="8">
        <v>5.9610000000000003</v>
      </c>
      <c r="E54" s="8">
        <v>4.9569999999999999</v>
      </c>
      <c r="F54" s="8">
        <v>3.8050000000000002</v>
      </c>
      <c r="G54" s="8">
        <v>4.2839999999999998</v>
      </c>
      <c r="H54" s="8">
        <v>3.7469999999999999</v>
      </c>
      <c r="I54" s="8">
        <v>6.0380000000000003</v>
      </c>
    </row>
    <row r="55" spans="1:9" x14ac:dyDescent="0.3">
      <c r="A55" s="7" t="s">
        <v>31</v>
      </c>
      <c r="B55" s="7">
        <v>2018</v>
      </c>
      <c r="C55" s="8">
        <v>4.1630000000000003</v>
      </c>
      <c r="D55" s="8">
        <v>6.6740000000000004</v>
      </c>
      <c r="E55" s="8">
        <v>4.76</v>
      </c>
      <c r="F55" s="8">
        <v>4.1109999999999998</v>
      </c>
      <c r="G55" s="8">
        <v>4.8170000000000002</v>
      </c>
      <c r="H55" s="8">
        <v>3.923</v>
      </c>
      <c r="I55" s="8">
        <v>6.2329999999999997</v>
      </c>
    </row>
    <row r="56" spans="1:9" x14ac:dyDescent="0.3">
      <c r="A56" s="7" t="s">
        <v>31</v>
      </c>
      <c r="B56" s="7">
        <v>2019</v>
      </c>
      <c r="C56" s="8">
        <v>4.9020000000000001</v>
      </c>
      <c r="D56" s="8">
        <v>6.9850000000000003</v>
      </c>
      <c r="E56" s="8">
        <v>5.0190000000000001</v>
      </c>
      <c r="F56" s="8">
        <v>4.5110000000000001</v>
      </c>
      <c r="G56" s="8">
        <v>4.8090000000000002</v>
      </c>
      <c r="H56" s="8">
        <v>4.2050000000000001</v>
      </c>
      <c r="I56" s="8">
        <v>6.2220000000000004</v>
      </c>
    </row>
    <row r="57" spans="1:9" x14ac:dyDescent="0.3">
      <c r="A57" s="7" t="s">
        <v>31</v>
      </c>
      <c r="B57" s="7">
        <v>2020</v>
      </c>
      <c r="C57" s="8">
        <v>5.1539999999999999</v>
      </c>
      <c r="D57" s="8">
        <v>7.8659999999999997</v>
      </c>
      <c r="E57" s="8">
        <v>5.4329999999999998</v>
      </c>
      <c r="F57" s="8">
        <v>5.2149999999999999</v>
      </c>
      <c r="G57" s="8">
        <v>5.4160000000000004</v>
      </c>
      <c r="H57" s="8">
        <v>4.67</v>
      </c>
      <c r="I57" s="8">
        <v>6.3760000000000003</v>
      </c>
    </row>
    <row r="58" spans="1:9" x14ac:dyDescent="0.3">
      <c r="A58" s="7" t="s">
        <v>31</v>
      </c>
      <c r="B58" s="7">
        <v>2021</v>
      </c>
      <c r="C58" s="8">
        <v>6.2469999999999999</v>
      </c>
      <c r="D58" s="8">
        <v>8.0630000000000006</v>
      </c>
      <c r="E58" s="8">
        <v>5.5519999999999996</v>
      </c>
      <c r="F58" s="8">
        <v>5.9039999999999999</v>
      </c>
      <c r="G58" s="8">
        <v>5.7839999999999998</v>
      </c>
      <c r="H58" s="8">
        <v>6.3440000000000003</v>
      </c>
      <c r="I58" s="8">
        <v>7.0119999999999996</v>
      </c>
    </row>
    <row r="59" spans="1:9" x14ac:dyDescent="0.3">
      <c r="A59" s="7" t="s">
        <v>31</v>
      </c>
      <c r="B59" s="7">
        <v>2022</v>
      </c>
      <c r="C59" s="8">
        <v>6.5990000000000002</v>
      </c>
      <c r="D59" s="8">
        <v>8.2509999999999994</v>
      </c>
      <c r="E59" s="8">
        <v>5.9969999999999999</v>
      </c>
      <c r="F59" s="8">
        <v>6.6820000000000004</v>
      </c>
      <c r="G59" s="8">
        <v>5.1959999999999997</v>
      </c>
      <c r="H59" s="8">
        <v>6.7359999999999998</v>
      </c>
      <c r="I59" s="8">
        <v>7.1890000000000001</v>
      </c>
    </row>
    <row r="60" spans="1:9" x14ac:dyDescent="0.3">
      <c r="A60" s="7" t="s">
        <v>31</v>
      </c>
      <c r="B60" s="7">
        <v>2023</v>
      </c>
      <c r="C60" s="8">
        <v>6.899</v>
      </c>
      <c r="D60" s="8">
        <v>9.2089999999999996</v>
      </c>
      <c r="E60" s="8">
        <v>6.601</v>
      </c>
      <c r="F60" s="8">
        <v>7.25</v>
      </c>
      <c r="G60" s="8">
        <v>5.827</v>
      </c>
      <c r="H60" s="8">
        <v>6.78</v>
      </c>
      <c r="I60" s="8">
        <v>7.056</v>
      </c>
    </row>
    <row r="61" spans="1:9" x14ac:dyDescent="0.3">
      <c r="A61" s="7" t="s">
        <v>31</v>
      </c>
      <c r="B61" s="7">
        <v>2024</v>
      </c>
      <c r="C61" s="8">
        <v>7.4690000000000003</v>
      </c>
      <c r="D61" s="8">
        <v>9.6140000000000008</v>
      </c>
      <c r="E61" s="8">
        <v>6.6139999999999999</v>
      </c>
      <c r="F61" s="8">
        <v>7.2489999999999997</v>
      </c>
      <c r="G61" s="8">
        <v>6.1639999999999997</v>
      </c>
      <c r="H61" s="8">
        <v>6.9749999999999996</v>
      </c>
      <c r="I61" s="8">
        <v>7.3630000000000004</v>
      </c>
    </row>
    <row r="62" spans="1:9" x14ac:dyDescent="0.3">
      <c r="A62" s="7" t="s">
        <v>32</v>
      </c>
      <c r="B62" s="7">
        <v>2015</v>
      </c>
      <c r="C62" s="8">
        <v>3.4079999999999999</v>
      </c>
      <c r="D62" s="8">
        <v>4.9989999999999997</v>
      </c>
      <c r="E62" s="8">
        <v>4.0789999999999997</v>
      </c>
      <c r="F62" s="8">
        <v>3.5960000000000001</v>
      </c>
      <c r="G62" s="8">
        <v>3.7050000000000001</v>
      </c>
      <c r="H62" s="8">
        <v>3.7</v>
      </c>
      <c r="I62" s="8">
        <v>6.0060000000000002</v>
      </c>
    </row>
    <row r="63" spans="1:9" x14ac:dyDescent="0.3">
      <c r="A63" s="7" t="s">
        <v>32</v>
      </c>
      <c r="B63" s="7">
        <v>2016</v>
      </c>
      <c r="C63" s="8">
        <v>3.4750000000000001</v>
      </c>
      <c r="D63" s="8">
        <v>5.8490000000000002</v>
      </c>
      <c r="E63" s="8">
        <v>3.9750000000000001</v>
      </c>
      <c r="F63" s="8">
        <v>3.8889999999999998</v>
      </c>
      <c r="G63" s="8">
        <v>4.266</v>
      </c>
      <c r="H63" s="8">
        <v>3.3740000000000001</v>
      </c>
      <c r="I63" s="8">
        <v>6.2720000000000002</v>
      </c>
    </row>
    <row r="64" spans="1:9" x14ac:dyDescent="0.3">
      <c r="A64" s="7" t="s">
        <v>32</v>
      </c>
      <c r="B64" s="7">
        <v>2017</v>
      </c>
      <c r="C64" s="8">
        <v>3.5190000000000001</v>
      </c>
      <c r="D64" s="8">
        <v>5.9290000000000003</v>
      </c>
      <c r="E64" s="8">
        <v>4.45</v>
      </c>
      <c r="F64" s="8">
        <v>3.742</v>
      </c>
      <c r="G64" s="8">
        <v>4.1790000000000003</v>
      </c>
      <c r="H64" s="8">
        <v>3.952</v>
      </c>
      <c r="I64" s="8">
        <v>6.3140000000000001</v>
      </c>
    </row>
    <row r="65" spans="1:9" x14ac:dyDescent="0.3">
      <c r="A65" s="7" t="s">
        <v>32</v>
      </c>
      <c r="B65" s="7">
        <v>2018</v>
      </c>
      <c r="C65" s="8">
        <v>3.8719999999999999</v>
      </c>
      <c r="D65" s="8">
        <v>6.73</v>
      </c>
      <c r="E65" s="8">
        <v>5.0579999999999998</v>
      </c>
      <c r="F65" s="8">
        <v>4.0259999999999998</v>
      </c>
      <c r="G65" s="8">
        <v>4.5339999999999998</v>
      </c>
      <c r="H65" s="8">
        <v>3.7850000000000001</v>
      </c>
      <c r="I65" s="8">
        <v>6.3949999999999996</v>
      </c>
    </row>
    <row r="66" spans="1:9" x14ac:dyDescent="0.3">
      <c r="A66" s="7" t="s">
        <v>32</v>
      </c>
      <c r="B66" s="7">
        <v>2019</v>
      </c>
      <c r="C66" s="8">
        <v>3.952</v>
      </c>
      <c r="D66" s="8">
        <v>7.1059999999999999</v>
      </c>
      <c r="E66" s="8">
        <v>5.2030000000000003</v>
      </c>
      <c r="F66" s="8">
        <v>4.8319999999999999</v>
      </c>
      <c r="G66" s="8">
        <v>4.9859999999999998</v>
      </c>
      <c r="H66" s="8">
        <v>3.9060000000000001</v>
      </c>
      <c r="I66" s="8">
        <v>6.1459999999999999</v>
      </c>
    </row>
    <row r="67" spans="1:9" x14ac:dyDescent="0.3">
      <c r="A67" s="7" t="s">
        <v>32</v>
      </c>
      <c r="B67" s="7">
        <v>2020</v>
      </c>
      <c r="C67" s="8">
        <v>4.8760000000000003</v>
      </c>
      <c r="D67" s="8">
        <v>7.6989999999999998</v>
      </c>
      <c r="E67" s="8">
        <v>5.3659999999999997</v>
      </c>
      <c r="F67" s="8">
        <v>5.9580000000000002</v>
      </c>
      <c r="G67" s="8">
        <v>5.7350000000000003</v>
      </c>
      <c r="H67" s="8">
        <v>4.3970000000000002</v>
      </c>
      <c r="I67" s="8">
        <v>6.2320000000000002</v>
      </c>
    </row>
    <row r="68" spans="1:9" x14ac:dyDescent="0.3">
      <c r="A68" s="7" t="s">
        <v>32</v>
      </c>
      <c r="B68" s="7">
        <v>2021</v>
      </c>
      <c r="C68" s="8">
        <v>5.9870000000000001</v>
      </c>
      <c r="D68" s="8">
        <v>7.7359999999999998</v>
      </c>
      <c r="E68" s="8">
        <v>5.9550000000000001</v>
      </c>
      <c r="F68" s="8">
        <v>6.6689999999999996</v>
      </c>
      <c r="G68" s="8">
        <v>5.8339999999999996</v>
      </c>
      <c r="H68" s="8">
        <v>5.9950000000000001</v>
      </c>
      <c r="I68" s="8">
        <v>6.8259999999999996</v>
      </c>
    </row>
    <row r="69" spans="1:9" x14ac:dyDescent="0.3">
      <c r="A69" s="7" t="s">
        <v>32</v>
      </c>
      <c r="B69" s="7">
        <v>2022</v>
      </c>
      <c r="C69" s="8">
        <v>6.585</v>
      </c>
      <c r="D69" s="8">
        <v>8.2409999999999997</v>
      </c>
      <c r="E69" s="8">
        <v>5.8719999999999999</v>
      </c>
      <c r="F69" s="8">
        <v>7.242</v>
      </c>
      <c r="G69" s="8">
        <v>5.4870000000000001</v>
      </c>
      <c r="H69" s="8">
        <v>7.048</v>
      </c>
      <c r="I69" s="8">
        <v>6.8929999999999998</v>
      </c>
    </row>
    <row r="70" spans="1:9" x14ac:dyDescent="0.3">
      <c r="A70" s="7" t="s">
        <v>32</v>
      </c>
      <c r="B70" s="7">
        <v>2023</v>
      </c>
      <c r="C70" s="8">
        <v>6.7489999999999997</v>
      </c>
      <c r="D70" s="8">
        <v>9.4130000000000003</v>
      </c>
      <c r="E70" s="8">
        <v>6.4260000000000002</v>
      </c>
      <c r="F70" s="8">
        <v>7.327</v>
      </c>
      <c r="G70" s="8">
        <v>5.8639999999999999</v>
      </c>
      <c r="H70" s="8">
        <v>7.09</v>
      </c>
      <c r="I70" s="8">
        <v>7.1369999999999996</v>
      </c>
    </row>
    <row r="71" spans="1:9" x14ac:dyDescent="0.3">
      <c r="A71" s="7" t="s">
        <v>32</v>
      </c>
      <c r="B71" s="7">
        <v>2024</v>
      </c>
      <c r="C71" s="8">
        <v>7.2</v>
      </c>
      <c r="D71" s="8">
        <v>9.8620000000000001</v>
      </c>
      <c r="E71" s="8">
        <v>6.7009999999999996</v>
      </c>
      <c r="F71" s="8">
        <v>7.4349999999999996</v>
      </c>
      <c r="G71" s="8">
        <v>6.1580000000000004</v>
      </c>
      <c r="H71" s="8">
        <v>7.0670000000000002</v>
      </c>
      <c r="I71" s="8">
        <v>7.0549999999999997</v>
      </c>
    </row>
    <row r="72" spans="1:9" x14ac:dyDescent="0.3">
      <c r="A72" s="7" t="s">
        <v>33</v>
      </c>
      <c r="B72" s="7">
        <v>2015</v>
      </c>
      <c r="C72" s="8">
        <v>3.6259999999999999</v>
      </c>
      <c r="D72" s="8">
        <v>5.399</v>
      </c>
      <c r="E72" s="8">
        <v>3.9489999999999998</v>
      </c>
      <c r="F72" s="8">
        <v>3.85</v>
      </c>
      <c r="G72" s="8">
        <v>3.9089999999999998</v>
      </c>
      <c r="H72" s="8">
        <v>3.7250000000000001</v>
      </c>
      <c r="I72" s="8">
        <v>5.9770000000000003</v>
      </c>
    </row>
    <row r="73" spans="1:9" x14ac:dyDescent="0.3">
      <c r="A73" s="7" t="s">
        <v>33</v>
      </c>
      <c r="B73" s="7">
        <v>2016</v>
      </c>
      <c r="C73" s="8">
        <v>3.6269999999999998</v>
      </c>
      <c r="D73" s="8">
        <v>6.2949999999999999</v>
      </c>
      <c r="E73" s="8">
        <v>4.359</v>
      </c>
      <c r="F73" s="8">
        <v>3.6619999999999999</v>
      </c>
      <c r="G73" s="8">
        <v>4.18</v>
      </c>
      <c r="H73" s="8">
        <v>3.6120000000000001</v>
      </c>
      <c r="I73" s="8">
        <v>6.2629999999999999</v>
      </c>
    </row>
    <row r="74" spans="1:9" x14ac:dyDescent="0.3">
      <c r="A74" s="7" t="s">
        <v>33</v>
      </c>
      <c r="B74" s="7">
        <v>2017</v>
      </c>
      <c r="C74" s="8">
        <v>3.7930000000000001</v>
      </c>
      <c r="D74" s="8">
        <v>6.3879999999999999</v>
      </c>
      <c r="E74" s="8">
        <v>4.883</v>
      </c>
      <c r="F74" s="8">
        <v>3.9620000000000002</v>
      </c>
      <c r="G74" s="8">
        <v>4.4550000000000001</v>
      </c>
      <c r="H74" s="8">
        <v>3.931</v>
      </c>
      <c r="I74" s="8">
        <v>6.7039999999999997</v>
      </c>
    </row>
    <row r="75" spans="1:9" x14ac:dyDescent="0.3">
      <c r="A75" s="7" t="s">
        <v>33</v>
      </c>
      <c r="B75" s="7">
        <v>2018</v>
      </c>
      <c r="C75" s="8">
        <v>4.2309999999999999</v>
      </c>
      <c r="D75" s="8">
        <v>7.4509999999999996</v>
      </c>
      <c r="E75" s="8">
        <v>4.742</v>
      </c>
      <c r="F75" s="8">
        <v>3.9910000000000001</v>
      </c>
      <c r="G75" s="8">
        <v>4.59</v>
      </c>
      <c r="H75" s="8">
        <v>3.8849999999999998</v>
      </c>
      <c r="I75" s="8">
        <v>6.2060000000000004</v>
      </c>
    </row>
    <row r="76" spans="1:9" x14ac:dyDescent="0.3">
      <c r="A76" s="7" t="s">
        <v>33</v>
      </c>
      <c r="B76" s="7">
        <v>2019</v>
      </c>
      <c r="C76" s="8">
        <v>4.5640000000000001</v>
      </c>
      <c r="D76" s="8">
        <v>7.641</v>
      </c>
      <c r="E76" s="8">
        <v>5.335</v>
      </c>
      <c r="F76" s="8">
        <v>4.6970000000000001</v>
      </c>
      <c r="G76" s="8">
        <v>4.859</v>
      </c>
      <c r="H76" s="8">
        <v>4.0229999999999997</v>
      </c>
      <c r="I76" s="8">
        <v>6.5469999999999997</v>
      </c>
    </row>
    <row r="77" spans="1:9" x14ac:dyDescent="0.3">
      <c r="A77" s="7" t="s">
        <v>33</v>
      </c>
      <c r="B77" s="7">
        <v>2020</v>
      </c>
      <c r="C77" s="8">
        <v>5.1420000000000003</v>
      </c>
      <c r="D77" s="8">
        <v>8.0709999999999997</v>
      </c>
      <c r="E77" s="8">
        <v>5.4489999999999998</v>
      </c>
      <c r="F77" s="8">
        <v>5.923</v>
      </c>
      <c r="G77" s="8">
        <v>5.5750000000000002</v>
      </c>
      <c r="H77" s="8">
        <v>5.53</v>
      </c>
      <c r="I77" s="8">
        <v>6.173</v>
      </c>
    </row>
    <row r="78" spans="1:9" x14ac:dyDescent="0.3">
      <c r="A78" s="7" t="s">
        <v>33</v>
      </c>
      <c r="B78" s="7">
        <v>2021</v>
      </c>
      <c r="C78" s="8">
        <v>6.2140000000000004</v>
      </c>
      <c r="D78" s="8">
        <v>8.952</v>
      </c>
      <c r="E78" s="8">
        <v>5.7560000000000002</v>
      </c>
      <c r="F78" s="8">
        <v>6.7539999999999996</v>
      </c>
      <c r="G78" s="8">
        <v>5.8970000000000002</v>
      </c>
      <c r="H78" s="8">
        <v>6.2869999999999999</v>
      </c>
      <c r="I78" s="8">
        <v>7.0350000000000001</v>
      </c>
    </row>
    <row r="79" spans="1:9" x14ac:dyDescent="0.3">
      <c r="A79" s="7" t="s">
        <v>33</v>
      </c>
      <c r="B79" s="7">
        <v>2022</v>
      </c>
      <c r="C79" s="8">
        <v>7.1479999999999997</v>
      </c>
      <c r="D79" s="8">
        <v>9.4860000000000007</v>
      </c>
      <c r="E79" s="8">
        <v>6.3460000000000001</v>
      </c>
      <c r="F79" s="8">
        <v>7.0579999999999998</v>
      </c>
      <c r="G79" s="8">
        <v>5.7450000000000001</v>
      </c>
      <c r="H79" s="8">
        <v>7.1520000000000001</v>
      </c>
      <c r="I79" s="8">
        <v>7.077</v>
      </c>
    </row>
    <row r="80" spans="1:9" x14ac:dyDescent="0.3">
      <c r="A80" s="7" t="s">
        <v>33</v>
      </c>
      <c r="B80" s="7">
        <v>2023</v>
      </c>
      <c r="C80" s="8">
        <v>7.0039999999999996</v>
      </c>
      <c r="D80" s="8">
        <v>10.477</v>
      </c>
      <c r="E80" s="8">
        <v>6.5679999999999996</v>
      </c>
      <c r="F80" s="8">
        <v>7.3019999999999996</v>
      </c>
      <c r="G80" s="8">
        <v>6.1120000000000001</v>
      </c>
      <c r="H80" s="8">
        <v>7.2290000000000001</v>
      </c>
      <c r="I80" s="8">
        <v>7.4260000000000002</v>
      </c>
    </row>
    <row r="81" spans="1:9" x14ac:dyDescent="0.3">
      <c r="A81" s="7" t="s">
        <v>33</v>
      </c>
      <c r="B81" s="7">
        <v>2024</v>
      </c>
      <c r="C81" s="8">
        <v>7.3410000000000002</v>
      </c>
      <c r="D81" s="8">
        <v>10.426</v>
      </c>
      <c r="E81" s="8">
        <v>6.6420000000000003</v>
      </c>
      <c r="F81" s="8">
        <v>7.4329999999999998</v>
      </c>
      <c r="G81" s="8">
        <v>6.2729999999999997</v>
      </c>
      <c r="H81" s="8">
        <v>7.2279999999999998</v>
      </c>
      <c r="I81" s="8">
        <v>7.5430000000000001</v>
      </c>
    </row>
    <row r="82" spans="1:9" x14ac:dyDescent="0.3">
      <c r="A82" s="7" t="s">
        <v>34</v>
      </c>
      <c r="B82" s="7">
        <v>2015</v>
      </c>
      <c r="C82" s="8">
        <v>3.738</v>
      </c>
      <c r="D82" s="8">
        <v>4.4560000000000004</v>
      </c>
      <c r="E82" s="8">
        <v>4.2729999999999997</v>
      </c>
      <c r="F82" s="8">
        <v>3.8879999999999999</v>
      </c>
      <c r="G82" s="8">
        <v>4.0350000000000001</v>
      </c>
      <c r="H82" s="8">
        <v>3.9790000000000001</v>
      </c>
      <c r="I82" s="8">
        <v>6.0640000000000001</v>
      </c>
    </row>
    <row r="83" spans="1:9" x14ac:dyDescent="0.3">
      <c r="A83" s="7" t="s">
        <v>34</v>
      </c>
      <c r="B83" s="7">
        <v>2016</v>
      </c>
      <c r="C83" s="8">
        <v>3.94</v>
      </c>
      <c r="D83" s="8">
        <v>5.1619999999999999</v>
      </c>
      <c r="E83" s="8">
        <v>4.4939999999999998</v>
      </c>
      <c r="F83" s="8">
        <v>3.58</v>
      </c>
      <c r="G83" s="8">
        <v>4.2830000000000004</v>
      </c>
      <c r="H83" s="8">
        <v>3.85</v>
      </c>
      <c r="I83" s="8">
        <v>6.1159999999999997</v>
      </c>
    </row>
    <row r="84" spans="1:9" x14ac:dyDescent="0.3">
      <c r="A84" s="7" t="s">
        <v>34</v>
      </c>
      <c r="B84" s="7">
        <v>2017</v>
      </c>
      <c r="C84" s="8">
        <v>4.0590000000000002</v>
      </c>
      <c r="D84" s="8">
        <v>5.1740000000000004</v>
      </c>
      <c r="E84" s="8">
        <v>4.6319999999999997</v>
      </c>
      <c r="F84" s="8">
        <v>4.0789999999999997</v>
      </c>
      <c r="G84" s="8">
        <v>4.4790000000000001</v>
      </c>
      <c r="H84" s="8">
        <v>3.9340000000000002</v>
      </c>
      <c r="I84" s="8">
        <v>6.4790000000000001</v>
      </c>
    </row>
    <row r="85" spans="1:9" x14ac:dyDescent="0.3">
      <c r="A85" s="7" t="s">
        <v>34</v>
      </c>
      <c r="B85" s="7">
        <v>2018</v>
      </c>
      <c r="C85" s="8">
        <v>4.3890000000000002</v>
      </c>
      <c r="D85" s="8">
        <v>5.8079999999999998</v>
      </c>
      <c r="E85" s="8">
        <v>5.2240000000000002</v>
      </c>
      <c r="F85" s="8">
        <v>4.0860000000000003</v>
      </c>
      <c r="G85" s="8">
        <v>4.766</v>
      </c>
      <c r="H85" s="8">
        <v>3.8250000000000002</v>
      </c>
      <c r="I85" s="8">
        <v>6.4109999999999996</v>
      </c>
    </row>
    <row r="86" spans="1:9" x14ac:dyDescent="0.3">
      <c r="A86" s="7" t="s">
        <v>34</v>
      </c>
      <c r="B86" s="7">
        <v>2019</v>
      </c>
      <c r="C86" s="8">
        <v>4.8879999999999999</v>
      </c>
      <c r="D86" s="8">
        <v>6.125</v>
      </c>
      <c r="E86" s="8">
        <v>5.4050000000000002</v>
      </c>
      <c r="F86" s="8">
        <v>4.6420000000000003</v>
      </c>
      <c r="G86" s="8">
        <v>5.2060000000000004</v>
      </c>
      <c r="H86" s="8">
        <v>4.0510000000000002</v>
      </c>
      <c r="I86" s="8">
        <v>6.8230000000000004</v>
      </c>
    </row>
    <row r="87" spans="1:9" x14ac:dyDescent="0.3">
      <c r="A87" s="7" t="s">
        <v>34</v>
      </c>
      <c r="B87" s="7">
        <v>2020</v>
      </c>
      <c r="C87" s="8">
        <v>5.6310000000000002</v>
      </c>
      <c r="D87" s="8">
        <v>6.4960000000000004</v>
      </c>
      <c r="E87" s="8">
        <v>5.8780000000000001</v>
      </c>
      <c r="F87" s="8">
        <v>5.6529999999999996</v>
      </c>
      <c r="G87" s="8">
        <v>5.94</v>
      </c>
      <c r="H87" s="8">
        <v>4.9039999999999999</v>
      </c>
      <c r="I87" s="8">
        <v>5.7530000000000001</v>
      </c>
    </row>
    <row r="88" spans="1:9" x14ac:dyDescent="0.3">
      <c r="A88" s="7" t="s">
        <v>34</v>
      </c>
      <c r="B88" s="7">
        <v>2021</v>
      </c>
      <c r="C88" s="8">
        <v>6.3680000000000003</v>
      </c>
      <c r="D88" s="8">
        <v>7.1719999999999997</v>
      </c>
      <c r="E88" s="8">
        <v>5.9619999999999997</v>
      </c>
      <c r="F88" s="8">
        <v>6.7190000000000003</v>
      </c>
      <c r="G88" s="8">
        <v>5.9740000000000002</v>
      </c>
      <c r="H88" s="8">
        <v>6.6230000000000002</v>
      </c>
      <c r="I88" s="8">
        <v>7.0830000000000002</v>
      </c>
    </row>
    <row r="89" spans="1:9" x14ac:dyDescent="0.3">
      <c r="A89" s="7" t="s">
        <v>34</v>
      </c>
      <c r="B89" s="7">
        <v>2022</v>
      </c>
      <c r="C89" s="8">
        <v>7.1609999999999996</v>
      </c>
      <c r="D89" s="8">
        <v>7.3440000000000003</v>
      </c>
      <c r="E89" s="8">
        <v>6.1719999999999997</v>
      </c>
      <c r="F89" s="8">
        <v>7.3689999999999998</v>
      </c>
      <c r="G89" s="8">
        <v>6.0549999999999997</v>
      </c>
      <c r="H89" s="8">
        <v>6.9450000000000003</v>
      </c>
      <c r="I89" s="8">
        <v>6.93</v>
      </c>
    </row>
    <row r="90" spans="1:9" x14ac:dyDescent="0.3">
      <c r="A90" s="7" t="s">
        <v>34</v>
      </c>
      <c r="B90" s="7">
        <v>2023</v>
      </c>
      <c r="C90" s="8">
        <v>7.0469999999999997</v>
      </c>
      <c r="D90" s="8">
        <v>7.7949999999999999</v>
      </c>
      <c r="E90" s="8">
        <v>6.3259999999999996</v>
      </c>
      <c r="F90" s="8">
        <v>7.2809999999999997</v>
      </c>
      <c r="G90" s="8">
        <v>5.9340000000000002</v>
      </c>
      <c r="H90" s="8">
        <v>7.0620000000000003</v>
      </c>
      <c r="I90" s="8">
        <v>6.9160000000000004</v>
      </c>
    </row>
    <row r="91" spans="1:9" x14ac:dyDescent="0.3">
      <c r="A91" s="7" t="s">
        <v>34</v>
      </c>
      <c r="B91" s="7">
        <v>2024</v>
      </c>
      <c r="C91" s="8">
        <v>7.2619999999999996</v>
      </c>
      <c r="D91" s="8">
        <v>8.3460000000000001</v>
      </c>
      <c r="E91" s="8">
        <v>7.0490000000000004</v>
      </c>
      <c r="F91" s="8">
        <v>7.3719999999999999</v>
      </c>
      <c r="G91" s="8">
        <v>6.4989999999999997</v>
      </c>
      <c r="H91" s="8">
        <v>7.1760000000000002</v>
      </c>
      <c r="I91" s="8">
        <v>7.2779999999999996</v>
      </c>
    </row>
    <row r="92" spans="1:9" x14ac:dyDescent="0.3">
      <c r="A92" s="7" t="s">
        <v>35</v>
      </c>
      <c r="B92" s="7">
        <v>2015</v>
      </c>
      <c r="C92" s="8">
        <v>4.0049999999999999</v>
      </c>
      <c r="D92" s="8">
        <v>6.6920000000000002</v>
      </c>
      <c r="E92" s="8">
        <v>4.1100000000000003</v>
      </c>
      <c r="F92" s="8">
        <v>4.2750000000000004</v>
      </c>
      <c r="G92" s="8">
        <v>4.41</v>
      </c>
      <c r="H92" s="8">
        <v>3.9529999999999998</v>
      </c>
      <c r="I92" s="8">
        <v>5.92</v>
      </c>
    </row>
    <row r="93" spans="1:9" x14ac:dyDescent="0.3">
      <c r="A93" s="7" t="s">
        <v>35</v>
      </c>
      <c r="B93" s="7">
        <v>2016</v>
      </c>
      <c r="C93" s="8">
        <v>4.0990000000000002</v>
      </c>
      <c r="D93" s="8">
        <v>7.56</v>
      </c>
      <c r="E93" s="8">
        <v>4.4710000000000001</v>
      </c>
      <c r="F93" s="8">
        <v>4.1440000000000001</v>
      </c>
      <c r="G93" s="8">
        <v>4.5579999999999998</v>
      </c>
      <c r="H93" s="8">
        <v>3.798</v>
      </c>
      <c r="I93" s="8">
        <v>6.3819999999999997</v>
      </c>
    </row>
    <row r="94" spans="1:9" x14ac:dyDescent="0.3">
      <c r="A94" s="7" t="s">
        <v>35</v>
      </c>
      <c r="B94" s="7">
        <v>2017</v>
      </c>
      <c r="C94" s="8">
        <v>4.07</v>
      </c>
      <c r="D94" s="8">
        <v>7.8369999999999997</v>
      </c>
      <c r="E94" s="8">
        <v>5.069</v>
      </c>
      <c r="F94" s="8">
        <v>4.1630000000000003</v>
      </c>
      <c r="G94" s="8">
        <v>4.7930000000000001</v>
      </c>
      <c r="H94" s="8">
        <v>3.964</v>
      </c>
      <c r="I94" s="8">
        <v>6.2889999999999997</v>
      </c>
    </row>
    <row r="95" spans="1:9" x14ac:dyDescent="0.3">
      <c r="A95" s="7" t="s">
        <v>35</v>
      </c>
      <c r="B95" s="7">
        <v>2018</v>
      </c>
      <c r="C95" s="8">
        <v>4.3410000000000002</v>
      </c>
      <c r="D95" s="8">
        <v>8.2739999999999991</v>
      </c>
      <c r="E95" s="8">
        <v>5.1749999999999998</v>
      </c>
      <c r="F95" s="8">
        <v>4.1239999999999997</v>
      </c>
      <c r="G95" s="8">
        <v>5.4169999999999998</v>
      </c>
      <c r="H95" s="8">
        <v>4.226</v>
      </c>
      <c r="I95" s="8">
        <v>6.57</v>
      </c>
    </row>
    <row r="96" spans="1:9" x14ac:dyDescent="0.3">
      <c r="A96" s="7" t="s">
        <v>35</v>
      </c>
      <c r="B96" s="7">
        <v>2019</v>
      </c>
      <c r="C96" s="8">
        <v>4.859</v>
      </c>
      <c r="D96" s="8">
        <v>8.6379999999999999</v>
      </c>
      <c r="E96" s="8">
        <v>5.4770000000000003</v>
      </c>
      <c r="F96" s="8">
        <v>4.7880000000000003</v>
      </c>
      <c r="G96" s="8">
        <v>5.55</v>
      </c>
      <c r="H96" s="8">
        <v>4.57</v>
      </c>
      <c r="I96" s="8">
        <v>6.4589999999999996</v>
      </c>
    </row>
    <row r="97" spans="1:9" x14ac:dyDescent="0.3">
      <c r="A97" s="7" t="s">
        <v>35</v>
      </c>
      <c r="B97" s="7">
        <v>2020</v>
      </c>
      <c r="C97" s="8">
        <v>5.7480000000000002</v>
      </c>
      <c r="D97" s="8">
        <v>9.1419999999999995</v>
      </c>
      <c r="E97" s="8">
        <v>5.516</v>
      </c>
      <c r="F97" s="8">
        <v>5.6529999999999996</v>
      </c>
      <c r="G97" s="8">
        <v>6.2130000000000001</v>
      </c>
      <c r="H97" s="8">
        <v>5.5590000000000002</v>
      </c>
      <c r="I97" s="8">
        <v>6.5720000000000001</v>
      </c>
    </row>
    <row r="98" spans="1:9" x14ac:dyDescent="0.3">
      <c r="A98" s="7" t="s">
        <v>35</v>
      </c>
      <c r="B98" s="7">
        <v>2021</v>
      </c>
      <c r="C98" s="8">
        <v>6.5629999999999997</v>
      </c>
      <c r="D98" s="8">
        <v>9.9510000000000005</v>
      </c>
      <c r="E98" s="8">
        <v>6.0090000000000003</v>
      </c>
      <c r="F98" s="8">
        <v>7.2359999999999998</v>
      </c>
      <c r="G98" s="8">
        <v>6.8639999999999999</v>
      </c>
      <c r="H98" s="8">
        <v>6.5030000000000001</v>
      </c>
      <c r="I98" s="8">
        <v>7.3570000000000002</v>
      </c>
    </row>
    <row r="99" spans="1:9" x14ac:dyDescent="0.3">
      <c r="A99" s="7" t="s">
        <v>35</v>
      </c>
      <c r="B99" s="7">
        <v>2022</v>
      </c>
      <c r="C99" s="8">
        <v>7.173</v>
      </c>
      <c r="D99" s="8">
        <v>10.738</v>
      </c>
      <c r="E99" s="8">
        <v>6.4029999999999996</v>
      </c>
      <c r="F99" s="8">
        <v>8.0180000000000007</v>
      </c>
      <c r="G99" s="8">
        <v>6.3390000000000004</v>
      </c>
      <c r="H99" s="8">
        <v>7.0720000000000001</v>
      </c>
      <c r="I99" s="8">
        <v>7.1959999999999997</v>
      </c>
    </row>
    <row r="100" spans="1:9" x14ac:dyDescent="0.3">
      <c r="A100" s="7" t="s">
        <v>35</v>
      </c>
      <c r="B100" s="7">
        <v>2023</v>
      </c>
      <c r="C100" s="8">
        <v>7.6470000000000002</v>
      </c>
      <c r="D100" s="8">
        <v>11.393000000000001</v>
      </c>
      <c r="E100" s="8">
        <v>6.7119999999999997</v>
      </c>
      <c r="F100" s="8">
        <v>8.0250000000000004</v>
      </c>
      <c r="G100" s="8">
        <v>6.6779999999999999</v>
      </c>
      <c r="H100" s="8">
        <v>7.4249999999999998</v>
      </c>
      <c r="I100" s="8">
        <v>7.6929999999999996</v>
      </c>
    </row>
    <row r="101" spans="1:9" x14ac:dyDescent="0.3">
      <c r="A101" s="7" t="s">
        <v>35</v>
      </c>
      <c r="B101" s="7">
        <v>2024</v>
      </c>
      <c r="C101" s="8">
        <v>7.9020000000000001</v>
      </c>
      <c r="D101" s="8">
        <v>11.962</v>
      </c>
      <c r="E101" s="8">
        <v>6.8529999999999998</v>
      </c>
      <c r="F101" s="8">
        <v>8.0220000000000002</v>
      </c>
      <c r="G101" s="8">
        <v>6.9660000000000002</v>
      </c>
      <c r="H101" s="8">
        <v>7.15</v>
      </c>
      <c r="I101" s="8">
        <v>7.601</v>
      </c>
    </row>
    <row r="102" spans="1:9" x14ac:dyDescent="0.3">
      <c r="A102" s="7" t="s">
        <v>36</v>
      </c>
      <c r="B102" s="7">
        <v>2015</v>
      </c>
      <c r="C102" s="8">
        <v>4.1890000000000001</v>
      </c>
      <c r="D102" s="8">
        <v>4.0270000000000001</v>
      </c>
      <c r="E102" s="8">
        <v>4.3440000000000003</v>
      </c>
      <c r="F102" s="8">
        <v>4.5019999999999998</v>
      </c>
      <c r="G102" s="8">
        <v>4.4770000000000003</v>
      </c>
      <c r="H102" s="8">
        <v>3.9510000000000001</v>
      </c>
      <c r="I102" s="8">
        <v>6.1120000000000001</v>
      </c>
    </row>
    <row r="103" spans="1:9" x14ac:dyDescent="0.3">
      <c r="A103" s="7" t="s">
        <v>36</v>
      </c>
      <c r="B103" s="7">
        <v>2016</v>
      </c>
      <c r="C103" s="8">
        <v>4.0270000000000001</v>
      </c>
      <c r="D103" s="8">
        <v>4.5670000000000002</v>
      </c>
      <c r="E103" s="8">
        <v>4.7249999999999996</v>
      </c>
      <c r="F103" s="8">
        <v>4.6769999999999996</v>
      </c>
      <c r="G103" s="8">
        <v>4.6689999999999996</v>
      </c>
      <c r="H103" s="8">
        <v>3.992</v>
      </c>
      <c r="I103" s="8">
        <v>5.8129999999999997</v>
      </c>
    </row>
    <row r="104" spans="1:9" x14ac:dyDescent="0.3">
      <c r="A104" s="7" t="s">
        <v>36</v>
      </c>
      <c r="B104" s="7">
        <v>2017</v>
      </c>
      <c r="C104" s="8">
        <v>4.4649999999999999</v>
      </c>
      <c r="D104" s="8">
        <v>5.0570000000000004</v>
      </c>
      <c r="E104" s="8">
        <v>4.9029999999999996</v>
      </c>
      <c r="F104" s="8">
        <v>4.5110000000000001</v>
      </c>
      <c r="G104" s="8">
        <v>5.0730000000000004</v>
      </c>
      <c r="H104" s="8">
        <v>4.0430000000000001</v>
      </c>
      <c r="I104" s="8">
        <v>6.38</v>
      </c>
    </row>
    <row r="105" spans="1:9" x14ac:dyDescent="0.3">
      <c r="A105" s="7" t="s">
        <v>36</v>
      </c>
      <c r="B105" s="7">
        <v>2018</v>
      </c>
      <c r="C105" s="8">
        <v>4.7229999999999999</v>
      </c>
      <c r="D105" s="8">
        <v>5.1150000000000002</v>
      </c>
      <c r="E105" s="8">
        <v>5.367</v>
      </c>
      <c r="F105" s="8">
        <v>4.6189999999999998</v>
      </c>
      <c r="G105" s="8">
        <v>5.2690000000000001</v>
      </c>
      <c r="H105" s="8">
        <v>4.117</v>
      </c>
      <c r="I105" s="8">
        <v>6.6580000000000004</v>
      </c>
    </row>
    <row r="106" spans="1:9" x14ac:dyDescent="0.3">
      <c r="A106" s="7" t="s">
        <v>36</v>
      </c>
      <c r="B106" s="7">
        <v>2019</v>
      </c>
      <c r="C106" s="8">
        <v>5.5469999999999997</v>
      </c>
      <c r="D106" s="8">
        <v>5.117</v>
      </c>
      <c r="E106" s="8">
        <v>5.4109999999999996</v>
      </c>
      <c r="F106" s="8">
        <v>5.4790000000000001</v>
      </c>
      <c r="G106" s="8">
        <v>5.75</v>
      </c>
      <c r="H106" s="8">
        <v>4.8319999999999999</v>
      </c>
      <c r="I106" s="8">
        <v>6.4329999999999998</v>
      </c>
    </row>
    <row r="107" spans="1:9" x14ac:dyDescent="0.3">
      <c r="A107" s="7" t="s">
        <v>36</v>
      </c>
      <c r="B107" s="7">
        <v>2020</v>
      </c>
      <c r="C107" s="8">
        <v>6.0110000000000001</v>
      </c>
      <c r="D107" s="8">
        <v>6.1550000000000002</v>
      </c>
      <c r="E107" s="8">
        <v>5.5670000000000002</v>
      </c>
      <c r="F107" s="8">
        <v>6.0609999999999999</v>
      </c>
      <c r="G107" s="8">
        <v>6.3479999999999999</v>
      </c>
      <c r="H107" s="8">
        <v>5.87</v>
      </c>
      <c r="I107" s="8">
        <v>6.0289999999999999</v>
      </c>
    </row>
    <row r="108" spans="1:9" x14ac:dyDescent="0.3">
      <c r="A108" s="7" t="s">
        <v>36</v>
      </c>
      <c r="B108" s="7">
        <v>2021</v>
      </c>
      <c r="C108" s="8">
        <v>6.6269999999999998</v>
      </c>
      <c r="D108" s="8">
        <v>6.29</v>
      </c>
      <c r="E108" s="8">
        <v>6.109</v>
      </c>
      <c r="F108" s="8">
        <v>7.1779999999999999</v>
      </c>
      <c r="G108" s="8">
        <v>6.3570000000000002</v>
      </c>
      <c r="H108" s="8">
        <v>6.9660000000000002</v>
      </c>
      <c r="I108" s="8">
        <v>6.0039999999999996</v>
      </c>
    </row>
    <row r="109" spans="1:9" x14ac:dyDescent="0.3">
      <c r="A109" s="7" t="s">
        <v>36</v>
      </c>
      <c r="B109" s="7">
        <v>2022</v>
      </c>
      <c r="C109" s="8">
        <v>7.3710000000000004</v>
      </c>
      <c r="D109" s="8">
        <v>6.508</v>
      </c>
      <c r="E109" s="8">
        <v>6.6390000000000002</v>
      </c>
      <c r="F109" s="8">
        <v>7.5970000000000004</v>
      </c>
      <c r="G109" s="8">
        <v>6.0860000000000003</v>
      </c>
      <c r="H109" s="8">
        <v>7.093</v>
      </c>
      <c r="I109" s="8">
        <v>6.8049999999999997</v>
      </c>
    </row>
    <row r="110" spans="1:9" x14ac:dyDescent="0.3">
      <c r="A110" s="7" t="s">
        <v>36</v>
      </c>
      <c r="B110" s="7">
        <v>2023</v>
      </c>
      <c r="C110" s="8">
        <v>7.556</v>
      </c>
      <c r="D110" s="8">
        <v>6.968</v>
      </c>
      <c r="E110" s="8">
        <v>6.6139999999999999</v>
      </c>
      <c r="F110" s="8">
        <v>8.02</v>
      </c>
      <c r="G110" s="8">
        <v>6.3940000000000001</v>
      </c>
      <c r="H110" s="8">
        <v>7.5190000000000001</v>
      </c>
      <c r="I110" s="8">
        <v>6.766</v>
      </c>
    </row>
    <row r="111" spans="1:9" x14ac:dyDescent="0.3">
      <c r="A111" s="7" t="s">
        <v>36</v>
      </c>
      <c r="B111" s="7">
        <v>2024</v>
      </c>
      <c r="C111" s="8">
        <v>7.7</v>
      </c>
      <c r="D111" s="8">
        <v>7.5460000000000003</v>
      </c>
      <c r="E111" s="8">
        <v>6.9909999999999997</v>
      </c>
      <c r="F111" s="8">
        <v>8.1140000000000008</v>
      </c>
      <c r="G111" s="8">
        <v>6.9340000000000002</v>
      </c>
      <c r="H111" s="8">
        <v>7.3970000000000002</v>
      </c>
      <c r="I111" s="8">
        <v>7.3369999999999997</v>
      </c>
    </row>
    <row r="112" spans="1:9" x14ac:dyDescent="0.3">
      <c r="A112" s="7" t="s">
        <v>37</v>
      </c>
      <c r="B112" s="7">
        <v>2015</v>
      </c>
      <c r="C112" s="8">
        <v>4.2480000000000002</v>
      </c>
      <c r="D112" s="8">
        <v>4.8150000000000004</v>
      </c>
      <c r="E112" s="8">
        <v>4.4290000000000003</v>
      </c>
      <c r="F112" s="8">
        <v>4.4870000000000001</v>
      </c>
      <c r="G112" s="8">
        <v>4.5030000000000001</v>
      </c>
      <c r="H112" s="8">
        <v>4.2169999999999996</v>
      </c>
      <c r="I112" s="8">
        <v>6.0839999999999996</v>
      </c>
    </row>
    <row r="113" spans="1:9" x14ac:dyDescent="0.3">
      <c r="A113" s="7" t="s">
        <v>37</v>
      </c>
      <c r="B113" s="7">
        <v>2016</v>
      </c>
      <c r="C113" s="8">
        <v>4.1059999999999999</v>
      </c>
      <c r="D113" s="8">
        <v>5.3090000000000002</v>
      </c>
      <c r="E113" s="8">
        <v>4.6829999999999998</v>
      </c>
      <c r="F113" s="8">
        <v>4.1959999999999997</v>
      </c>
      <c r="G113" s="8">
        <v>4.8019999999999996</v>
      </c>
      <c r="H113" s="8">
        <v>3.903</v>
      </c>
      <c r="I113" s="8">
        <v>6.1820000000000004</v>
      </c>
    </row>
    <row r="114" spans="1:9" x14ac:dyDescent="0.3">
      <c r="A114" s="7" t="s">
        <v>37</v>
      </c>
      <c r="B114" s="7">
        <v>2017</v>
      </c>
      <c r="C114" s="8">
        <v>4.4749999999999996</v>
      </c>
      <c r="D114" s="8">
        <v>5.2329999999999997</v>
      </c>
      <c r="E114" s="8">
        <v>4.9109999999999996</v>
      </c>
      <c r="F114" s="8">
        <v>4.2190000000000003</v>
      </c>
      <c r="G114" s="8">
        <v>4.9820000000000002</v>
      </c>
      <c r="H114" s="8">
        <v>3.66</v>
      </c>
      <c r="I114" s="8">
        <v>6.2009999999999996</v>
      </c>
    </row>
    <row r="115" spans="1:9" x14ac:dyDescent="0.3">
      <c r="A115" s="7" t="s">
        <v>37</v>
      </c>
      <c r="B115" s="7">
        <v>2018</v>
      </c>
      <c r="C115" s="8">
        <v>4.4390000000000001</v>
      </c>
      <c r="D115" s="8">
        <v>5.9450000000000003</v>
      </c>
      <c r="E115" s="8">
        <v>5.3840000000000003</v>
      </c>
      <c r="F115" s="8">
        <v>4.8259999999999996</v>
      </c>
      <c r="G115" s="8">
        <v>5.1710000000000003</v>
      </c>
      <c r="H115" s="8">
        <v>4.0999999999999996</v>
      </c>
      <c r="I115" s="8">
        <v>6.6420000000000003</v>
      </c>
    </row>
    <row r="116" spans="1:9" x14ac:dyDescent="0.3">
      <c r="A116" s="7" t="s">
        <v>37</v>
      </c>
      <c r="B116" s="7">
        <v>2019</v>
      </c>
      <c r="C116" s="8">
        <v>5.3090000000000002</v>
      </c>
      <c r="D116" s="8">
        <v>6.0049999999999999</v>
      </c>
      <c r="E116" s="8">
        <v>5.7809999999999997</v>
      </c>
      <c r="F116" s="8">
        <v>5.5090000000000003</v>
      </c>
      <c r="G116" s="8">
        <v>5.55</v>
      </c>
      <c r="H116" s="8">
        <v>4.4560000000000004</v>
      </c>
      <c r="I116" s="8">
        <v>6.3479999999999999</v>
      </c>
    </row>
    <row r="117" spans="1:9" x14ac:dyDescent="0.3">
      <c r="A117" s="7" t="s">
        <v>37</v>
      </c>
      <c r="B117" s="7">
        <v>2020</v>
      </c>
      <c r="C117" s="8">
        <v>6.2290000000000001</v>
      </c>
      <c r="D117" s="8">
        <v>6.2859999999999996</v>
      </c>
      <c r="E117" s="8">
        <v>5.8070000000000004</v>
      </c>
      <c r="F117" s="8">
        <v>6.28</v>
      </c>
      <c r="G117" s="8">
        <v>6.1989999999999998</v>
      </c>
      <c r="H117" s="8">
        <v>5.38</v>
      </c>
      <c r="I117" s="8">
        <v>6.0819999999999999</v>
      </c>
    </row>
    <row r="118" spans="1:9" x14ac:dyDescent="0.3">
      <c r="A118" s="7" t="s">
        <v>37</v>
      </c>
      <c r="B118" s="7">
        <v>2021</v>
      </c>
      <c r="C118" s="8">
        <v>7.282</v>
      </c>
      <c r="D118" s="8">
        <v>7.2949999999999999</v>
      </c>
      <c r="E118" s="8">
        <v>6.0469999999999997</v>
      </c>
      <c r="F118" s="8">
        <v>7.4109999999999996</v>
      </c>
      <c r="G118" s="8">
        <v>6.8259999999999996</v>
      </c>
      <c r="H118" s="8">
        <v>6.76</v>
      </c>
      <c r="I118" s="8">
        <v>6.9669999999999996</v>
      </c>
    </row>
    <row r="119" spans="1:9" x14ac:dyDescent="0.3">
      <c r="A119" s="7" t="s">
        <v>37</v>
      </c>
      <c r="B119" s="7">
        <v>2022</v>
      </c>
      <c r="C119" s="8">
        <v>7.524</v>
      </c>
      <c r="D119" s="8">
        <v>7.5250000000000004</v>
      </c>
      <c r="E119" s="8">
        <v>6.5270000000000001</v>
      </c>
      <c r="F119" s="8">
        <v>7.907</v>
      </c>
      <c r="G119" s="8">
        <v>6.5170000000000003</v>
      </c>
      <c r="H119" s="8">
        <v>7.2930000000000001</v>
      </c>
      <c r="I119" s="8">
        <v>7.0960000000000001</v>
      </c>
    </row>
    <row r="120" spans="1:9" x14ac:dyDescent="0.3">
      <c r="A120" s="7" t="s">
        <v>37</v>
      </c>
      <c r="B120" s="7">
        <v>2023</v>
      </c>
      <c r="C120" s="8">
        <v>7.9109999999999996</v>
      </c>
      <c r="D120" s="8">
        <v>8.0489999999999995</v>
      </c>
      <c r="E120" s="8">
        <v>6.9080000000000004</v>
      </c>
      <c r="F120" s="8">
        <v>8.0869999999999997</v>
      </c>
      <c r="G120" s="8">
        <v>6.9610000000000003</v>
      </c>
      <c r="H120" s="8">
        <v>7.2510000000000003</v>
      </c>
      <c r="I120" s="8">
        <v>7.2519999999999998</v>
      </c>
    </row>
    <row r="121" spans="1:9" x14ac:dyDescent="0.3">
      <c r="A121" s="7" t="s">
        <v>37</v>
      </c>
      <c r="B121" s="7">
        <v>2024</v>
      </c>
      <c r="C121" s="8">
        <v>8.1129999999999995</v>
      </c>
      <c r="D121" s="8">
        <v>8.7119999999999997</v>
      </c>
      <c r="E121" s="8">
        <v>6.9020000000000001</v>
      </c>
      <c r="F121" s="8">
        <v>8.0579999999999998</v>
      </c>
      <c r="G121" s="8">
        <v>6.8680000000000003</v>
      </c>
      <c r="H121" s="8">
        <v>7.4539999999999997</v>
      </c>
      <c r="I121" s="8">
        <v>7.2009999999999996</v>
      </c>
    </row>
    <row r="122" spans="1:9" x14ac:dyDescent="0.3">
      <c r="A122" s="7" t="s">
        <v>38</v>
      </c>
      <c r="B122" s="7">
        <v>2015</v>
      </c>
      <c r="C122" s="8">
        <v>3.129</v>
      </c>
      <c r="D122" s="8">
        <v>5.69</v>
      </c>
      <c r="E122" s="8">
        <v>3.6230000000000002</v>
      </c>
      <c r="F122" s="8">
        <v>3.4710000000000001</v>
      </c>
      <c r="G122" s="8">
        <v>3.2210000000000001</v>
      </c>
      <c r="H122" s="8">
        <v>3.3159999999999998</v>
      </c>
      <c r="I122" s="8">
        <v>5.9050000000000002</v>
      </c>
    </row>
    <row r="123" spans="1:9" x14ac:dyDescent="0.3">
      <c r="A123" s="7" t="s">
        <v>38</v>
      </c>
      <c r="B123" s="7">
        <v>2016</v>
      </c>
      <c r="C123" s="8">
        <v>3.0960000000000001</v>
      </c>
      <c r="D123" s="8">
        <v>6.2649999999999997</v>
      </c>
      <c r="E123" s="8">
        <v>4.008</v>
      </c>
      <c r="F123" s="8">
        <v>3.0409999999999999</v>
      </c>
      <c r="G123" s="8">
        <v>3.19</v>
      </c>
      <c r="H123" s="8">
        <v>3.036</v>
      </c>
      <c r="I123" s="8">
        <v>6.1950000000000003</v>
      </c>
    </row>
    <row r="124" spans="1:9" x14ac:dyDescent="0.3">
      <c r="A124" s="7" t="s">
        <v>38</v>
      </c>
      <c r="B124" s="7">
        <v>2017</v>
      </c>
      <c r="C124" s="8">
        <v>3.2570000000000001</v>
      </c>
      <c r="D124" s="8">
        <v>6.8220000000000001</v>
      </c>
      <c r="E124" s="8">
        <v>4.1319999999999997</v>
      </c>
      <c r="F124" s="8">
        <v>3.5619999999999998</v>
      </c>
      <c r="G124" s="8">
        <v>3.3109999999999999</v>
      </c>
      <c r="H124" s="8">
        <v>3.157</v>
      </c>
      <c r="I124" s="8">
        <v>5.77</v>
      </c>
    </row>
    <row r="125" spans="1:9" x14ac:dyDescent="0.3">
      <c r="A125" s="7" t="s">
        <v>38</v>
      </c>
      <c r="B125" s="7">
        <v>2018</v>
      </c>
      <c r="C125" s="8">
        <v>3.4940000000000002</v>
      </c>
      <c r="D125" s="8">
        <v>7.37</v>
      </c>
      <c r="E125" s="8">
        <v>4.7460000000000004</v>
      </c>
      <c r="F125" s="8">
        <v>3.6040000000000001</v>
      </c>
      <c r="G125" s="8">
        <v>3.923</v>
      </c>
      <c r="H125" s="8">
        <v>3.5840000000000001</v>
      </c>
      <c r="I125" s="8">
        <v>6.3</v>
      </c>
    </row>
    <row r="126" spans="1:9" x14ac:dyDescent="0.3">
      <c r="A126" s="7" t="s">
        <v>38</v>
      </c>
      <c r="B126" s="7">
        <v>2019</v>
      </c>
      <c r="C126" s="8">
        <v>3.9940000000000002</v>
      </c>
      <c r="D126" s="8">
        <v>7.8209999999999997</v>
      </c>
      <c r="E126" s="8">
        <v>4.8810000000000002</v>
      </c>
      <c r="F126" s="8">
        <v>4.1769999999999996</v>
      </c>
      <c r="G126" s="8">
        <v>4.25</v>
      </c>
      <c r="H126" s="8">
        <v>4.2370000000000001</v>
      </c>
      <c r="I126" s="8">
        <v>6.3680000000000003</v>
      </c>
    </row>
    <row r="127" spans="1:9" x14ac:dyDescent="0.3">
      <c r="A127" s="7" t="s">
        <v>38</v>
      </c>
      <c r="B127" s="7">
        <v>2020</v>
      </c>
      <c r="C127" s="8">
        <v>4.8079999999999998</v>
      </c>
      <c r="D127" s="8">
        <v>8.2230000000000008</v>
      </c>
      <c r="E127" s="8">
        <v>5.1459999999999999</v>
      </c>
      <c r="F127" s="8">
        <v>5.4809999999999999</v>
      </c>
      <c r="G127" s="8">
        <v>4.7119999999999997</v>
      </c>
      <c r="H127" s="8">
        <v>4.6369999999999996</v>
      </c>
      <c r="I127" s="8">
        <v>6.2830000000000004</v>
      </c>
    </row>
    <row r="128" spans="1:9" x14ac:dyDescent="0.3">
      <c r="A128" s="7" t="s">
        <v>38</v>
      </c>
      <c r="B128" s="7">
        <v>2021</v>
      </c>
      <c r="C128" s="8">
        <v>5.7910000000000004</v>
      </c>
      <c r="D128" s="8">
        <v>8.8940000000000001</v>
      </c>
      <c r="E128" s="8">
        <v>5.4420000000000002</v>
      </c>
      <c r="F128" s="8">
        <v>6.2110000000000003</v>
      </c>
      <c r="G128" s="8">
        <v>5.1769999999999996</v>
      </c>
      <c r="H128" s="8">
        <v>5.0919999999999996</v>
      </c>
      <c r="I128" s="8">
        <v>7.2939999999999996</v>
      </c>
    </row>
    <row r="129" spans="1:9" x14ac:dyDescent="0.3">
      <c r="A129" s="7" t="s">
        <v>38</v>
      </c>
      <c r="B129" s="7">
        <v>2022</v>
      </c>
      <c r="C129" s="8">
        <v>6.5460000000000003</v>
      </c>
      <c r="D129" s="8">
        <v>8.843</v>
      </c>
      <c r="E129" s="8">
        <v>5.5949999999999998</v>
      </c>
      <c r="F129" s="8">
        <v>6.5140000000000002</v>
      </c>
      <c r="G129" s="8">
        <v>4.6340000000000003</v>
      </c>
      <c r="H129" s="8">
        <v>6.266</v>
      </c>
      <c r="I129" s="8">
        <v>6.8710000000000004</v>
      </c>
    </row>
    <row r="130" spans="1:9" x14ac:dyDescent="0.3">
      <c r="A130" s="7" t="s">
        <v>38</v>
      </c>
      <c r="B130" s="7">
        <v>2023</v>
      </c>
      <c r="C130" s="8">
        <v>6.5789999999999997</v>
      </c>
      <c r="D130" s="8">
        <v>9.8070000000000004</v>
      </c>
      <c r="E130" s="8">
        <v>5.931</v>
      </c>
      <c r="F130" s="8">
        <v>6.915</v>
      </c>
      <c r="G130" s="8">
        <v>5.1070000000000002</v>
      </c>
      <c r="H130" s="8">
        <v>6.2060000000000004</v>
      </c>
      <c r="I130" s="8">
        <v>7.4109999999999996</v>
      </c>
    </row>
    <row r="131" spans="1:9" x14ac:dyDescent="0.3">
      <c r="A131" s="7" t="s">
        <v>38</v>
      </c>
      <c r="B131" s="7">
        <v>2024</v>
      </c>
      <c r="C131" s="8">
        <v>6.91</v>
      </c>
      <c r="D131" s="8">
        <v>10.202</v>
      </c>
      <c r="E131" s="8">
        <v>5.9939999999999998</v>
      </c>
      <c r="F131" s="8">
        <v>6.835</v>
      </c>
      <c r="G131" s="8">
        <v>5.5869999999999997</v>
      </c>
      <c r="H131" s="8">
        <v>6.6619999999999999</v>
      </c>
      <c r="I131" s="8">
        <v>7.4589999999999996</v>
      </c>
    </row>
    <row r="132" spans="1:9" x14ac:dyDescent="0.3">
      <c r="A132" s="7" t="s">
        <v>39</v>
      </c>
      <c r="B132" s="7">
        <v>2015</v>
      </c>
      <c r="C132" s="8">
        <v>3.7389999999999999</v>
      </c>
      <c r="D132" s="8">
        <v>5.5650000000000004</v>
      </c>
      <c r="E132" s="8">
        <v>4.4130000000000003</v>
      </c>
      <c r="F132" s="8">
        <v>4.1779999999999999</v>
      </c>
      <c r="G132" s="8">
        <v>4.0730000000000004</v>
      </c>
      <c r="H132" s="8">
        <v>4.1269999999999998</v>
      </c>
      <c r="I132" s="8">
        <v>6.101</v>
      </c>
    </row>
    <row r="133" spans="1:9" x14ac:dyDescent="0.3">
      <c r="A133" s="7" t="s">
        <v>39</v>
      </c>
      <c r="B133" s="7">
        <v>2016</v>
      </c>
      <c r="C133" s="8">
        <v>4.0759999999999996</v>
      </c>
      <c r="D133" s="8">
        <v>6.1029999999999998</v>
      </c>
      <c r="E133" s="8">
        <v>4.7110000000000003</v>
      </c>
      <c r="F133" s="8">
        <v>3.8889999999999998</v>
      </c>
      <c r="G133" s="8">
        <v>4.2709999999999999</v>
      </c>
      <c r="H133" s="8">
        <v>4.0599999999999996</v>
      </c>
      <c r="I133" s="8">
        <v>6.218</v>
      </c>
    </row>
    <row r="134" spans="1:9" x14ac:dyDescent="0.3">
      <c r="A134" s="7" t="s">
        <v>39</v>
      </c>
      <c r="B134" s="7">
        <v>2017</v>
      </c>
      <c r="C134" s="8">
        <v>4.29</v>
      </c>
      <c r="D134" s="8">
        <v>6.5030000000000001</v>
      </c>
      <c r="E134" s="8">
        <v>5.149</v>
      </c>
      <c r="F134" s="8">
        <v>4.0510000000000002</v>
      </c>
      <c r="G134" s="8">
        <v>4.5609999999999999</v>
      </c>
      <c r="H134" s="8">
        <v>3.7789999999999999</v>
      </c>
      <c r="I134" s="8">
        <v>6.3540000000000001</v>
      </c>
    </row>
    <row r="135" spans="1:9" x14ac:dyDescent="0.3">
      <c r="A135" s="7" t="s">
        <v>39</v>
      </c>
      <c r="B135" s="7">
        <v>2018</v>
      </c>
      <c r="C135" s="8">
        <v>4.7789999999999999</v>
      </c>
      <c r="D135" s="8">
        <v>7.0129999999999999</v>
      </c>
      <c r="E135" s="8">
        <v>5.4770000000000003</v>
      </c>
      <c r="F135" s="8">
        <v>3.9940000000000002</v>
      </c>
      <c r="G135" s="8">
        <v>5.1289999999999996</v>
      </c>
      <c r="H135" s="8">
        <v>4.109</v>
      </c>
      <c r="I135" s="8">
        <v>6.298</v>
      </c>
    </row>
    <row r="136" spans="1:9" x14ac:dyDescent="0.3">
      <c r="A136" s="7" t="s">
        <v>39</v>
      </c>
      <c r="B136" s="7">
        <v>2019</v>
      </c>
      <c r="C136" s="8">
        <v>5.4820000000000002</v>
      </c>
      <c r="D136" s="8">
        <v>7.2030000000000003</v>
      </c>
      <c r="E136" s="8">
        <v>5.7080000000000002</v>
      </c>
      <c r="F136" s="8">
        <v>5.0119999999999996</v>
      </c>
      <c r="G136" s="8">
        <v>4.9889999999999999</v>
      </c>
      <c r="H136" s="8">
        <v>4.6029999999999998</v>
      </c>
      <c r="I136" s="8">
        <v>6.7270000000000003</v>
      </c>
    </row>
    <row r="137" spans="1:9" x14ac:dyDescent="0.3">
      <c r="A137" s="7" t="s">
        <v>39</v>
      </c>
      <c r="B137" s="7">
        <v>2020</v>
      </c>
      <c r="C137" s="8">
        <v>6.0359999999999996</v>
      </c>
      <c r="D137" s="8">
        <v>7.9370000000000003</v>
      </c>
      <c r="E137" s="8">
        <v>6.0359999999999996</v>
      </c>
      <c r="F137" s="8">
        <v>6.2439999999999998</v>
      </c>
      <c r="G137" s="8">
        <v>5.8710000000000004</v>
      </c>
      <c r="H137" s="8">
        <v>4.9349999999999996</v>
      </c>
      <c r="I137" s="8">
        <v>6.2720000000000002</v>
      </c>
    </row>
    <row r="138" spans="1:9" x14ac:dyDescent="0.3">
      <c r="A138" s="7" t="s">
        <v>39</v>
      </c>
      <c r="B138" s="7">
        <v>2021</v>
      </c>
      <c r="C138" s="8">
        <v>7.04</v>
      </c>
      <c r="D138" s="8">
        <v>8.3800000000000008</v>
      </c>
      <c r="E138" s="8">
        <v>6.2240000000000002</v>
      </c>
      <c r="F138" s="8">
        <v>7.125</v>
      </c>
      <c r="G138" s="8">
        <v>6.2809999999999997</v>
      </c>
      <c r="H138" s="8">
        <v>6.1230000000000002</v>
      </c>
      <c r="I138" s="8">
        <v>7.0149999999999997</v>
      </c>
    </row>
    <row r="139" spans="1:9" x14ac:dyDescent="0.3">
      <c r="A139" s="7" t="s">
        <v>39</v>
      </c>
      <c r="B139" s="7">
        <v>2022</v>
      </c>
      <c r="C139" s="8">
        <v>7.1689999999999996</v>
      </c>
      <c r="D139" s="8">
        <v>8.6760000000000002</v>
      </c>
      <c r="E139" s="8">
        <v>6.7279999999999998</v>
      </c>
      <c r="F139" s="8">
        <v>7.2089999999999996</v>
      </c>
      <c r="G139" s="8">
        <v>5.9269999999999996</v>
      </c>
      <c r="H139" s="8">
        <v>6.7679999999999998</v>
      </c>
      <c r="I139" s="8">
        <v>6.67</v>
      </c>
    </row>
    <row r="140" spans="1:9" x14ac:dyDescent="0.3">
      <c r="A140" s="7" t="s">
        <v>39</v>
      </c>
      <c r="B140" s="7">
        <v>2023</v>
      </c>
      <c r="C140" s="8">
        <v>7.2750000000000004</v>
      </c>
      <c r="D140" s="8">
        <v>9.4979999999999993</v>
      </c>
      <c r="E140" s="8">
        <v>6.82</v>
      </c>
      <c r="F140" s="8">
        <v>7.6109999999999998</v>
      </c>
      <c r="G140" s="8">
        <v>6.391</v>
      </c>
      <c r="H140" s="8">
        <v>7.359</v>
      </c>
      <c r="I140" s="8">
        <v>7.0919999999999996</v>
      </c>
    </row>
    <row r="141" spans="1:9" x14ac:dyDescent="0.3">
      <c r="A141" s="7" t="s">
        <v>39</v>
      </c>
      <c r="B141" s="7">
        <v>2024</v>
      </c>
      <c r="C141" s="8">
        <v>7.3520000000000003</v>
      </c>
      <c r="D141" s="8">
        <v>10.169</v>
      </c>
      <c r="E141" s="8">
        <v>7.2389999999999999</v>
      </c>
      <c r="F141" s="8">
        <v>7.4240000000000004</v>
      </c>
      <c r="G141" s="8">
        <v>6.5049999999999999</v>
      </c>
      <c r="H141" s="8">
        <v>7.5209999999999999</v>
      </c>
      <c r="I141" s="8">
        <v>7.484</v>
      </c>
    </row>
    <row r="142" spans="1:9" x14ac:dyDescent="0.3">
      <c r="A142" s="7" t="s">
        <v>40</v>
      </c>
      <c r="B142" s="7">
        <v>2015</v>
      </c>
      <c r="C142" s="8">
        <v>3.742</v>
      </c>
      <c r="D142" s="8">
        <v>4.6909999999999998</v>
      </c>
      <c r="E142" s="8">
        <v>4.5</v>
      </c>
      <c r="F142" s="8">
        <v>3.944</v>
      </c>
      <c r="G142" s="8">
        <v>4.0529999999999999</v>
      </c>
      <c r="H142" s="8">
        <v>4.1260000000000003</v>
      </c>
      <c r="I142" s="8">
        <v>5.83</v>
      </c>
    </row>
    <row r="143" spans="1:9" x14ac:dyDescent="0.3">
      <c r="A143" s="7" t="s">
        <v>40</v>
      </c>
      <c r="B143" s="7">
        <v>2016</v>
      </c>
      <c r="C143" s="8">
        <v>3.7</v>
      </c>
      <c r="D143" s="8">
        <v>4.5039999999999996</v>
      </c>
      <c r="E143" s="8">
        <v>5.05</v>
      </c>
      <c r="F143" s="8">
        <v>3.8380000000000001</v>
      </c>
      <c r="G143" s="8">
        <v>4.1959999999999997</v>
      </c>
      <c r="H143" s="8">
        <v>3.8050000000000002</v>
      </c>
      <c r="I143" s="8">
        <v>6.1950000000000003</v>
      </c>
    </row>
    <row r="144" spans="1:9" x14ac:dyDescent="0.3">
      <c r="A144" s="7" t="s">
        <v>40</v>
      </c>
      <c r="B144" s="7">
        <v>2017</v>
      </c>
      <c r="C144" s="8">
        <v>3.964</v>
      </c>
      <c r="D144" s="8">
        <v>4.9189999999999996</v>
      </c>
      <c r="E144" s="8">
        <v>5.3460000000000001</v>
      </c>
      <c r="F144" s="8">
        <v>4.218</v>
      </c>
      <c r="G144" s="8">
        <v>4.5090000000000003</v>
      </c>
      <c r="H144" s="8">
        <v>4.4880000000000004</v>
      </c>
      <c r="I144" s="8">
        <v>6.1710000000000003</v>
      </c>
    </row>
    <row r="145" spans="1:9" x14ac:dyDescent="0.3">
      <c r="A145" s="7" t="s">
        <v>40</v>
      </c>
      <c r="B145" s="7">
        <v>2018</v>
      </c>
      <c r="C145" s="8">
        <v>4.6420000000000003</v>
      </c>
      <c r="D145" s="8">
        <v>5.5229999999999997</v>
      </c>
      <c r="E145" s="8">
        <v>5.0140000000000002</v>
      </c>
      <c r="F145" s="8">
        <v>4.6500000000000004</v>
      </c>
      <c r="G145" s="8">
        <v>4.67</v>
      </c>
      <c r="H145" s="8">
        <v>3.9990000000000001</v>
      </c>
      <c r="I145" s="8">
        <v>6.5789999999999997</v>
      </c>
    </row>
    <row r="146" spans="1:9" x14ac:dyDescent="0.3">
      <c r="A146" s="7" t="s">
        <v>40</v>
      </c>
      <c r="B146" s="7">
        <v>2019</v>
      </c>
      <c r="C146" s="8">
        <v>5.415</v>
      </c>
      <c r="D146" s="8">
        <v>6.4939999999999998</v>
      </c>
      <c r="E146" s="8">
        <v>5.8849999999999998</v>
      </c>
      <c r="F146" s="8">
        <v>4.891</v>
      </c>
      <c r="G146" s="8">
        <v>5.234</v>
      </c>
      <c r="H146" s="8">
        <v>4.7460000000000004</v>
      </c>
      <c r="I146" s="8">
        <v>6.8410000000000002</v>
      </c>
    </row>
    <row r="147" spans="1:9" x14ac:dyDescent="0.3">
      <c r="A147" s="7" t="s">
        <v>40</v>
      </c>
      <c r="B147" s="7">
        <v>2020</v>
      </c>
      <c r="C147" s="8">
        <v>6.2969999999999997</v>
      </c>
      <c r="D147" s="8">
        <v>6.4939999999999998</v>
      </c>
      <c r="E147" s="8">
        <v>5.9820000000000002</v>
      </c>
      <c r="F147" s="8">
        <v>5.6029999999999998</v>
      </c>
      <c r="G147" s="8">
        <v>5.7990000000000004</v>
      </c>
      <c r="H147" s="8">
        <v>5.5609999999999999</v>
      </c>
      <c r="I147" s="8">
        <v>6.1420000000000003</v>
      </c>
    </row>
    <row r="148" spans="1:9" x14ac:dyDescent="0.3">
      <c r="A148" s="7" t="s">
        <v>40</v>
      </c>
      <c r="B148" s="7">
        <v>2021</v>
      </c>
      <c r="C148" s="8">
        <v>6.6369999999999996</v>
      </c>
      <c r="D148" s="8">
        <v>6.8630000000000004</v>
      </c>
      <c r="E148" s="8">
        <v>6.1070000000000002</v>
      </c>
      <c r="F148" s="8">
        <v>6.327</v>
      </c>
      <c r="G148" s="8">
        <v>6.2050000000000001</v>
      </c>
      <c r="H148" s="8">
        <v>6.9740000000000002</v>
      </c>
      <c r="I148" s="8">
        <v>6.6820000000000004</v>
      </c>
    </row>
    <row r="149" spans="1:9" x14ac:dyDescent="0.3">
      <c r="A149" s="7" t="s">
        <v>40</v>
      </c>
      <c r="B149" s="7">
        <v>2022</v>
      </c>
      <c r="C149" s="8">
        <v>7.407</v>
      </c>
      <c r="D149" s="8">
        <v>7.0279999999999996</v>
      </c>
      <c r="E149" s="8">
        <v>6.3959999999999999</v>
      </c>
      <c r="F149" s="8">
        <v>7.2670000000000003</v>
      </c>
      <c r="G149" s="8">
        <v>5.798</v>
      </c>
      <c r="H149" s="8">
        <v>7.2859999999999996</v>
      </c>
      <c r="I149" s="8">
        <v>7.0540000000000003</v>
      </c>
    </row>
    <row r="150" spans="1:9" x14ac:dyDescent="0.3">
      <c r="A150" s="7" t="s">
        <v>40</v>
      </c>
      <c r="B150" s="7">
        <v>2023</v>
      </c>
      <c r="C150" s="8">
        <v>7.5170000000000003</v>
      </c>
      <c r="D150" s="8">
        <v>7.6210000000000004</v>
      </c>
      <c r="E150" s="8">
        <v>6.8490000000000002</v>
      </c>
      <c r="F150" s="8">
        <v>7.258</v>
      </c>
      <c r="G150" s="8">
        <v>6.1219999999999999</v>
      </c>
      <c r="H150" s="8">
        <v>7.5229999999999997</v>
      </c>
      <c r="I150" s="8">
        <v>7.1719999999999997</v>
      </c>
    </row>
    <row r="151" spans="1:9" x14ac:dyDescent="0.3">
      <c r="A151" s="7" t="s">
        <v>40</v>
      </c>
      <c r="B151" s="7">
        <v>2024</v>
      </c>
      <c r="C151" s="8">
        <v>7.2610000000000001</v>
      </c>
      <c r="D151" s="8">
        <v>8.39</v>
      </c>
      <c r="E151" s="8">
        <v>7.1189999999999998</v>
      </c>
      <c r="F151" s="8">
        <v>7.6870000000000003</v>
      </c>
      <c r="G151" s="8">
        <v>6.5119999999999996</v>
      </c>
      <c r="H151" s="8">
        <v>7.7160000000000002</v>
      </c>
      <c r="I151" s="8">
        <v>7.5519999999999996</v>
      </c>
    </row>
    <row r="152" spans="1:9" x14ac:dyDescent="0.3">
      <c r="A152" s="7" t="s">
        <v>41</v>
      </c>
      <c r="B152" s="7">
        <v>2015</v>
      </c>
      <c r="C152" s="8">
        <v>4.4139999999999997</v>
      </c>
      <c r="D152" s="8">
        <v>4.3150000000000004</v>
      </c>
      <c r="E152" s="8">
        <v>4.6029999999999998</v>
      </c>
      <c r="F152" s="8">
        <v>4.2409999999999997</v>
      </c>
      <c r="G152" s="8">
        <v>4.7590000000000003</v>
      </c>
      <c r="H152" s="8">
        <v>4.194</v>
      </c>
      <c r="I152" s="8">
        <v>6.61</v>
      </c>
    </row>
    <row r="153" spans="1:9" x14ac:dyDescent="0.3">
      <c r="A153" s="7" t="s">
        <v>41</v>
      </c>
      <c r="B153" s="7">
        <v>2016</v>
      </c>
      <c r="C153" s="8">
        <v>4.3559999999999999</v>
      </c>
      <c r="D153" s="8">
        <v>4.6660000000000004</v>
      </c>
      <c r="E153" s="8">
        <v>4.6630000000000003</v>
      </c>
      <c r="F153" s="8">
        <v>4.4429999999999996</v>
      </c>
      <c r="G153" s="8">
        <v>4.8319999999999999</v>
      </c>
      <c r="H153" s="8">
        <v>4.0919999999999996</v>
      </c>
      <c r="I153" s="8">
        <v>5.931</v>
      </c>
    </row>
    <row r="154" spans="1:9" x14ac:dyDescent="0.3">
      <c r="A154" s="7" t="s">
        <v>41</v>
      </c>
      <c r="B154" s="7">
        <v>2017</v>
      </c>
      <c r="C154" s="8">
        <v>4.51</v>
      </c>
      <c r="D154" s="8">
        <v>5.3890000000000002</v>
      </c>
      <c r="E154" s="8">
        <v>5.1180000000000003</v>
      </c>
      <c r="F154" s="8">
        <v>4.4290000000000003</v>
      </c>
      <c r="G154" s="8">
        <v>5.1840000000000002</v>
      </c>
      <c r="H154" s="8">
        <v>4.2690000000000001</v>
      </c>
      <c r="I154" s="8">
        <v>6.1280000000000001</v>
      </c>
    </row>
    <row r="155" spans="1:9" x14ac:dyDescent="0.3">
      <c r="A155" s="7" t="s">
        <v>41</v>
      </c>
      <c r="B155" s="7">
        <v>2018</v>
      </c>
      <c r="C155" s="8">
        <v>4.8369999999999997</v>
      </c>
      <c r="D155" s="8">
        <v>6.0650000000000004</v>
      </c>
      <c r="E155" s="8">
        <v>5.2729999999999997</v>
      </c>
      <c r="F155" s="8">
        <v>4.4589999999999996</v>
      </c>
      <c r="G155" s="8">
        <v>5.6470000000000002</v>
      </c>
      <c r="H155" s="8">
        <v>4.4020000000000001</v>
      </c>
      <c r="I155" s="8">
        <v>6.7409999999999997</v>
      </c>
    </row>
    <row r="156" spans="1:9" x14ac:dyDescent="0.3">
      <c r="A156" s="7" t="s">
        <v>41</v>
      </c>
      <c r="B156" s="7">
        <v>2019</v>
      </c>
      <c r="C156" s="8">
        <v>5.5670000000000002</v>
      </c>
      <c r="D156" s="8">
        <v>6.0510000000000002</v>
      </c>
      <c r="E156" s="8">
        <v>5.7460000000000004</v>
      </c>
      <c r="F156" s="8">
        <v>4.8179999999999996</v>
      </c>
      <c r="G156" s="8">
        <v>5.9630000000000001</v>
      </c>
      <c r="H156" s="8">
        <v>5.0350000000000001</v>
      </c>
      <c r="I156" s="8">
        <v>6.3840000000000003</v>
      </c>
    </row>
    <row r="157" spans="1:9" x14ac:dyDescent="0.3">
      <c r="A157" s="7" t="s">
        <v>41</v>
      </c>
      <c r="B157" s="7">
        <v>2020</v>
      </c>
      <c r="C157" s="8">
        <v>6.3689999999999998</v>
      </c>
      <c r="D157" s="8">
        <v>6.258</v>
      </c>
      <c r="E157" s="8">
        <v>6.016</v>
      </c>
      <c r="F157" s="8">
        <v>6.05</v>
      </c>
      <c r="G157" s="8">
        <v>6.4649999999999999</v>
      </c>
      <c r="H157" s="8">
        <v>5.8019999999999996</v>
      </c>
      <c r="I157" s="8">
        <v>5.843</v>
      </c>
    </row>
    <row r="158" spans="1:9" x14ac:dyDescent="0.3">
      <c r="A158" s="7" t="s">
        <v>41</v>
      </c>
      <c r="B158" s="7">
        <v>2021</v>
      </c>
      <c r="C158" s="8">
        <v>7.4859999999999998</v>
      </c>
      <c r="D158" s="8">
        <v>6.89</v>
      </c>
      <c r="E158" s="8">
        <v>6.4029999999999996</v>
      </c>
      <c r="F158" s="8">
        <v>6.915</v>
      </c>
      <c r="G158" s="8">
        <v>6.7949999999999999</v>
      </c>
      <c r="H158" s="8">
        <v>6.593</v>
      </c>
      <c r="I158" s="8">
        <v>7.1879999999999997</v>
      </c>
    </row>
    <row r="159" spans="1:9" x14ac:dyDescent="0.3">
      <c r="A159" s="7" t="s">
        <v>41</v>
      </c>
      <c r="B159" s="7">
        <v>2022</v>
      </c>
      <c r="C159" s="8">
        <v>7.6420000000000003</v>
      </c>
      <c r="D159" s="8">
        <v>7.282</v>
      </c>
      <c r="E159" s="8">
        <v>6.5090000000000003</v>
      </c>
      <c r="F159" s="8">
        <v>7.2119999999999997</v>
      </c>
      <c r="G159" s="8">
        <v>6.6239999999999997</v>
      </c>
      <c r="H159" s="8">
        <v>7.1459999999999999</v>
      </c>
      <c r="I159" s="8">
        <v>7.0490000000000004</v>
      </c>
    </row>
    <row r="160" spans="1:9" x14ac:dyDescent="0.3">
      <c r="A160" s="7" t="s">
        <v>41</v>
      </c>
      <c r="B160" s="7">
        <v>2023</v>
      </c>
      <c r="C160" s="8">
        <v>8.0079999999999991</v>
      </c>
      <c r="D160" s="8">
        <v>7.6719999999999997</v>
      </c>
      <c r="E160" s="8">
        <v>6.9450000000000003</v>
      </c>
      <c r="F160" s="8">
        <v>7.8680000000000003</v>
      </c>
      <c r="G160" s="8">
        <v>6.5860000000000003</v>
      </c>
      <c r="H160" s="8">
        <v>7.548</v>
      </c>
      <c r="I160" s="8">
        <v>7.1890000000000001</v>
      </c>
    </row>
    <row r="161" spans="1:9" x14ac:dyDescent="0.3">
      <c r="A161" s="7" t="s">
        <v>41</v>
      </c>
      <c r="B161" s="7">
        <v>2024</v>
      </c>
      <c r="C161" s="8">
        <v>8.2639999999999993</v>
      </c>
      <c r="D161" s="8">
        <v>8.2539999999999996</v>
      </c>
      <c r="E161" s="8">
        <v>7.4349999999999996</v>
      </c>
      <c r="F161" s="8">
        <v>7.94</v>
      </c>
      <c r="G161" s="8">
        <v>7.0460000000000003</v>
      </c>
      <c r="H161" s="8">
        <v>7.5510000000000002</v>
      </c>
      <c r="I161" s="8">
        <v>7.2759999999999998</v>
      </c>
    </row>
    <row r="162" spans="1:9" x14ac:dyDescent="0.3">
      <c r="A162" s="7" t="s">
        <v>42</v>
      </c>
      <c r="B162" s="7">
        <v>2015</v>
      </c>
      <c r="C162" s="8">
        <v>4.8620000000000001</v>
      </c>
      <c r="D162" s="8">
        <v>4.9160000000000004</v>
      </c>
      <c r="E162" s="8">
        <v>5.2530000000000001</v>
      </c>
      <c r="F162" s="8">
        <v>4.5780000000000003</v>
      </c>
      <c r="G162" s="8">
        <v>5.1630000000000003</v>
      </c>
      <c r="H162" s="8">
        <v>4.5609999999999999</v>
      </c>
      <c r="I162" s="8">
        <v>6.3230000000000004</v>
      </c>
    </row>
    <row r="163" spans="1:9" x14ac:dyDescent="0.3">
      <c r="A163" s="7" t="s">
        <v>42</v>
      </c>
      <c r="B163" s="7">
        <v>2016</v>
      </c>
      <c r="C163" s="8">
        <v>4.827</v>
      </c>
      <c r="D163" s="8">
        <v>5.1029999999999998</v>
      </c>
      <c r="E163" s="8">
        <v>5.351</v>
      </c>
      <c r="F163" s="8">
        <v>4.9630000000000001</v>
      </c>
      <c r="G163" s="8">
        <v>5.5679999999999996</v>
      </c>
      <c r="H163" s="8">
        <v>4.8650000000000002</v>
      </c>
      <c r="I163" s="8">
        <v>6.0970000000000004</v>
      </c>
    </row>
    <row r="164" spans="1:9" x14ac:dyDescent="0.3">
      <c r="A164" s="7" t="s">
        <v>42</v>
      </c>
      <c r="B164" s="7">
        <v>2017</v>
      </c>
      <c r="C164" s="8">
        <v>4.8440000000000003</v>
      </c>
      <c r="D164" s="8">
        <v>5.6180000000000003</v>
      </c>
      <c r="E164" s="8">
        <v>5.9320000000000004</v>
      </c>
      <c r="F164" s="8">
        <v>4.9429999999999996</v>
      </c>
      <c r="G164" s="8">
        <v>6.0190000000000001</v>
      </c>
      <c r="H164" s="8">
        <v>4.84</v>
      </c>
      <c r="I164" s="8">
        <v>6.8070000000000004</v>
      </c>
    </row>
    <row r="165" spans="1:9" x14ac:dyDescent="0.3">
      <c r="A165" s="7" t="s">
        <v>42</v>
      </c>
      <c r="B165" s="7">
        <v>2018</v>
      </c>
      <c r="C165" s="8">
        <v>5.4089999999999998</v>
      </c>
      <c r="D165" s="8">
        <v>6.03</v>
      </c>
      <c r="E165" s="8">
        <v>6.0590000000000002</v>
      </c>
      <c r="F165" s="8">
        <v>5.2130000000000001</v>
      </c>
      <c r="G165" s="8">
        <v>6.0439999999999996</v>
      </c>
      <c r="H165" s="8">
        <v>4.9710000000000001</v>
      </c>
      <c r="I165" s="8">
        <v>6.718</v>
      </c>
    </row>
    <row r="166" spans="1:9" x14ac:dyDescent="0.3">
      <c r="A166" s="7" t="s">
        <v>42</v>
      </c>
      <c r="B166" s="7">
        <v>2019</v>
      </c>
      <c r="C166" s="8">
        <v>5.952</v>
      </c>
      <c r="D166" s="8">
        <v>6.2510000000000003</v>
      </c>
      <c r="E166" s="8">
        <v>6.0529999999999999</v>
      </c>
      <c r="F166" s="8">
        <v>5.8940000000000001</v>
      </c>
      <c r="G166" s="8">
        <v>6.0389999999999997</v>
      </c>
      <c r="H166" s="8">
        <v>4.7729999999999997</v>
      </c>
      <c r="I166" s="8">
        <v>6.665</v>
      </c>
    </row>
    <row r="167" spans="1:9" x14ac:dyDescent="0.3">
      <c r="A167" s="7" t="s">
        <v>42</v>
      </c>
      <c r="B167" s="7">
        <v>2020</v>
      </c>
      <c r="C167" s="8">
        <v>7.0350000000000001</v>
      </c>
      <c r="D167" s="8">
        <v>7.4550000000000001</v>
      </c>
      <c r="E167" s="8">
        <v>6.6159999999999997</v>
      </c>
      <c r="F167" s="8">
        <v>6.7610000000000001</v>
      </c>
      <c r="G167" s="8">
        <v>6.9829999999999997</v>
      </c>
      <c r="H167" s="8">
        <v>6.1280000000000001</v>
      </c>
      <c r="I167" s="8">
        <v>6.3369999999999997</v>
      </c>
    </row>
    <row r="168" spans="1:9" x14ac:dyDescent="0.3">
      <c r="A168" s="7" t="s">
        <v>42</v>
      </c>
      <c r="B168" s="7">
        <v>2021</v>
      </c>
      <c r="C168" s="8">
        <v>7.8849999999999998</v>
      </c>
      <c r="D168" s="8">
        <v>7.351</v>
      </c>
      <c r="E168" s="8">
        <v>6.9459999999999997</v>
      </c>
      <c r="F168" s="8">
        <v>7.4790000000000001</v>
      </c>
      <c r="G168" s="8">
        <v>7.1379999999999999</v>
      </c>
      <c r="H168" s="8">
        <v>7.6840000000000002</v>
      </c>
      <c r="I168" s="8">
        <v>6.9660000000000002</v>
      </c>
    </row>
    <row r="169" spans="1:9" x14ac:dyDescent="0.3">
      <c r="A169" s="7" t="s">
        <v>42</v>
      </c>
      <c r="B169" s="7">
        <v>2022</v>
      </c>
      <c r="C169" s="8">
        <v>8.1690000000000005</v>
      </c>
      <c r="D169" s="8">
        <v>7.7249999999999996</v>
      </c>
      <c r="E169" s="8">
        <v>7.2750000000000004</v>
      </c>
      <c r="F169" s="8">
        <v>7.835</v>
      </c>
      <c r="G169" s="8">
        <v>7.0090000000000003</v>
      </c>
      <c r="H169" s="8">
        <v>8.0530000000000008</v>
      </c>
      <c r="I169" s="8">
        <v>7.431</v>
      </c>
    </row>
    <row r="170" spans="1:9" x14ac:dyDescent="0.3">
      <c r="A170" s="7" t="s">
        <v>42</v>
      </c>
      <c r="B170" s="7">
        <v>2023</v>
      </c>
      <c r="C170" s="8">
        <v>8.5640000000000001</v>
      </c>
      <c r="D170" s="8">
        <v>8.452</v>
      </c>
      <c r="E170" s="8">
        <v>7.48</v>
      </c>
      <c r="F170" s="8">
        <v>8.375</v>
      </c>
      <c r="G170" s="8">
        <v>7.48</v>
      </c>
      <c r="H170" s="8">
        <v>8.2370000000000001</v>
      </c>
      <c r="I170" s="8">
        <v>7.9039999999999999</v>
      </c>
    </row>
    <row r="171" spans="1:9" x14ac:dyDescent="0.3">
      <c r="A171" s="7" t="s">
        <v>42</v>
      </c>
      <c r="B171" s="7">
        <v>2024</v>
      </c>
      <c r="C171" s="8">
        <v>8.4870000000000001</v>
      </c>
      <c r="D171" s="8">
        <v>8.59</v>
      </c>
      <c r="E171" s="8">
        <v>7.6130000000000004</v>
      </c>
      <c r="F171" s="8">
        <v>8.3350000000000009</v>
      </c>
      <c r="G171" s="8">
        <v>7.4459999999999997</v>
      </c>
      <c r="H171" s="8">
        <v>8.141</v>
      </c>
      <c r="I171" s="8">
        <v>7.7519999999999998</v>
      </c>
    </row>
    <row r="172" spans="1:9" x14ac:dyDescent="0.3">
      <c r="A172" s="7" t="s">
        <v>43</v>
      </c>
      <c r="B172" s="7">
        <v>2015</v>
      </c>
      <c r="C172" s="8">
        <v>3.8239999999999998</v>
      </c>
      <c r="D172" s="8">
        <v>4.5410000000000004</v>
      </c>
      <c r="E172" s="8">
        <v>4.6379999999999999</v>
      </c>
      <c r="F172" s="8">
        <v>4.0570000000000004</v>
      </c>
      <c r="G172" s="8">
        <v>4.149</v>
      </c>
      <c r="H172" s="8">
        <v>3.9580000000000002</v>
      </c>
      <c r="I172" s="8">
        <v>6.2629999999999999</v>
      </c>
    </row>
    <row r="173" spans="1:9" x14ac:dyDescent="0.3">
      <c r="A173" s="7" t="s">
        <v>43</v>
      </c>
      <c r="B173" s="7">
        <v>2016</v>
      </c>
      <c r="C173" s="8">
        <v>3.7040000000000002</v>
      </c>
      <c r="D173" s="8">
        <v>4.7850000000000001</v>
      </c>
      <c r="E173" s="8">
        <v>4.7560000000000002</v>
      </c>
      <c r="F173" s="8">
        <v>4.1100000000000003</v>
      </c>
      <c r="G173" s="8">
        <v>4.6360000000000001</v>
      </c>
      <c r="H173" s="8">
        <v>4.4530000000000003</v>
      </c>
      <c r="I173" s="8">
        <v>6.1840000000000002</v>
      </c>
    </row>
    <row r="174" spans="1:9" x14ac:dyDescent="0.3">
      <c r="A174" s="7" t="s">
        <v>43</v>
      </c>
      <c r="B174" s="7">
        <v>2017</v>
      </c>
      <c r="C174" s="8">
        <v>3.899</v>
      </c>
      <c r="D174" s="8">
        <v>5.5049999999999999</v>
      </c>
      <c r="E174" s="8">
        <v>5.2480000000000002</v>
      </c>
      <c r="F174" s="8">
        <v>4.0629999999999997</v>
      </c>
      <c r="G174" s="8">
        <v>4.5810000000000004</v>
      </c>
      <c r="H174" s="8">
        <v>4.28</v>
      </c>
      <c r="I174" s="8">
        <v>6.5309999999999997</v>
      </c>
    </row>
    <row r="175" spans="1:9" x14ac:dyDescent="0.3">
      <c r="A175" s="7" t="s">
        <v>43</v>
      </c>
      <c r="B175" s="7">
        <v>2018</v>
      </c>
      <c r="C175" s="8">
        <v>4.109</v>
      </c>
      <c r="D175" s="8">
        <v>5.6470000000000002</v>
      </c>
      <c r="E175" s="8">
        <v>5.5389999999999997</v>
      </c>
      <c r="F175" s="8">
        <v>4.34</v>
      </c>
      <c r="G175" s="8">
        <v>5.0049999999999999</v>
      </c>
      <c r="H175" s="8">
        <v>4.6890000000000001</v>
      </c>
      <c r="I175" s="8">
        <v>6.343</v>
      </c>
    </row>
    <row r="176" spans="1:9" x14ac:dyDescent="0.3">
      <c r="A176" s="7" t="s">
        <v>43</v>
      </c>
      <c r="B176" s="7">
        <v>2019</v>
      </c>
      <c r="C176" s="8">
        <v>4.8600000000000003</v>
      </c>
      <c r="D176" s="8">
        <v>5.7350000000000003</v>
      </c>
      <c r="E176" s="8">
        <v>5.4210000000000003</v>
      </c>
      <c r="F176" s="8">
        <v>4.9610000000000003</v>
      </c>
      <c r="G176" s="8">
        <v>5.0010000000000003</v>
      </c>
      <c r="H176" s="8">
        <v>5.0060000000000002</v>
      </c>
      <c r="I176" s="8">
        <v>6.5919999999999996</v>
      </c>
    </row>
    <row r="177" spans="1:9" x14ac:dyDescent="0.3">
      <c r="A177" s="7" t="s">
        <v>43</v>
      </c>
      <c r="B177" s="7">
        <v>2020</v>
      </c>
      <c r="C177" s="8">
        <v>5.4729999999999999</v>
      </c>
      <c r="D177" s="8">
        <v>6.1059999999999999</v>
      </c>
      <c r="E177" s="8">
        <v>6.1740000000000004</v>
      </c>
      <c r="F177" s="8">
        <v>5.7309999999999999</v>
      </c>
      <c r="G177" s="8">
        <v>5.8869999999999996</v>
      </c>
      <c r="H177" s="8">
        <v>5.641</v>
      </c>
      <c r="I177" s="8">
        <v>6.26</v>
      </c>
    </row>
    <row r="178" spans="1:9" x14ac:dyDescent="0.3">
      <c r="A178" s="7" t="s">
        <v>43</v>
      </c>
      <c r="B178" s="7">
        <v>2021</v>
      </c>
      <c r="C178" s="8">
        <v>6.524</v>
      </c>
      <c r="D178" s="8">
        <v>6.992</v>
      </c>
      <c r="E178" s="8">
        <v>6.16</v>
      </c>
      <c r="F178" s="8">
        <v>6.5389999999999997</v>
      </c>
      <c r="G178" s="8">
        <v>6.2370000000000001</v>
      </c>
      <c r="H178" s="8">
        <v>7.0540000000000003</v>
      </c>
      <c r="I178" s="8">
        <v>6.8410000000000002</v>
      </c>
    </row>
    <row r="179" spans="1:9" x14ac:dyDescent="0.3">
      <c r="A179" s="7" t="s">
        <v>43</v>
      </c>
      <c r="B179" s="7">
        <v>2022</v>
      </c>
      <c r="C179" s="8">
        <v>7.2140000000000004</v>
      </c>
      <c r="D179" s="8">
        <v>7.18</v>
      </c>
      <c r="E179" s="8">
        <v>6.85</v>
      </c>
      <c r="F179" s="8">
        <v>7.1429999999999998</v>
      </c>
      <c r="G179" s="8">
        <v>6.0019999999999998</v>
      </c>
      <c r="H179" s="8">
        <v>7.2889999999999997</v>
      </c>
      <c r="I179" s="8">
        <v>6.9359999999999999</v>
      </c>
    </row>
    <row r="180" spans="1:9" x14ac:dyDescent="0.3">
      <c r="A180" s="7" t="s">
        <v>43</v>
      </c>
      <c r="B180" s="7">
        <v>2023</v>
      </c>
      <c r="C180" s="8">
        <v>7.3869999999999996</v>
      </c>
      <c r="D180" s="8">
        <v>7.673</v>
      </c>
      <c r="E180" s="8">
        <v>6.9340000000000002</v>
      </c>
      <c r="F180" s="8">
        <v>7.7690000000000001</v>
      </c>
      <c r="G180" s="8">
        <v>6.0670000000000002</v>
      </c>
      <c r="H180" s="8">
        <v>7.343</v>
      </c>
      <c r="I180" s="8">
        <v>6.8810000000000002</v>
      </c>
    </row>
    <row r="181" spans="1:9" x14ac:dyDescent="0.3">
      <c r="A181" s="7" t="s">
        <v>43</v>
      </c>
      <c r="B181" s="7">
        <v>2024</v>
      </c>
      <c r="C181" s="8">
        <v>7.77</v>
      </c>
      <c r="D181" s="8">
        <v>8.2970000000000006</v>
      </c>
      <c r="E181" s="8">
        <v>7.1479999999999997</v>
      </c>
      <c r="F181" s="8">
        <v>7.819</v>
      </c>
      <c r="G181" s="8">
        <v>6.4489999999999998</v>
      </c>
      <c r="H181" s="8">
        <v>7.9039999999999999</v>
      </c>
      <c r="I181" s="8">
        <v>7.431</v>
      </c>
    </row>
    <row r="182" spans="1:9" x14ac:dyDescent="0.3">
      <c r="A182" s="7" t="s">
        <v>44</v>
      </c>
      <c r="B182" s="7">
        <v>2015</v>
      </c>
      <c r="C182" s="8">
        <v>4.62</v>
      </c>
      <c r="D182" s="8">
        <v>5.3959999999999999</v>
      </c>
      <c r="E182" s="8">
        <v>5.9619999999999997</v>
      </c>
      <c r="F182" s="8">
        <v>5.0789999999999997</v>
      </c>
      <c r="G182" s="8">
        <v>4.9619999999999997</v>
      </c>
      <c r="H182" s="8">
        <v>5.2839999999999998</v>
      </c>
      <c r="I182" s="8">
        <v>6.2930000000000001</v>
      </c>
    </row>
    <row r="183" spans="1:9" x14ac:dyDescent="0.3">
      <c r="A183" s="7" t="s">
        <v>44</v>
      </c>
      <c r="B183" s="7">
        <v>2016</v>
      </c>
      <c r="C183" s="8">
        <v>4.8019999999999996</v>
      </c>
      <c r="D183" s="8">
        <v>6.2549999999999999</v>
      </c>
      <c r="E183" s="8">
        <v>5.9320000000000004</v>
      </c>
      <c r="F183" s="8">
        <v>5.1059999999999999</v>
      </c>
      <c r="G183" s="8">
        <v>5.1870000000000003</v>
      </c>
      <c r="H183" s="8">
        <v>5.141</v>
      </c>
      <c r="I183" s="8">
        <v>6.5650000000000004</v>
      </c>
    </row>
    <row r="184" spans="1:9" x14ac:dyDescent="0.3">
      <c r="A184" s="7" t="s">
        <v>44</v>
      </c>
      <c r="B184" s="7">
        <v>2017</v>
      </c>
      <c r="C184" s="8">
        <v>5.101</v>
      </c>
      <c r="D184" s="8">
        <v>6.4349999999999996</v>
      </c>
      <c r="E184" s="8">
        <v>6.1609999999999996</v>
      </c>
      <c r="F184" s="8">
        <v>5.367</v>
      </c>
      <c r="G184" s="8">
        <v>5.1820000000000004</v>
      </c>
      <c r="H184" s="8">
        <v>5.1120000000000001</v>
      </c>
      <c r="I184" s="8">
        <v>6.4880000000000004</v>
      </c>
    </row>
    <row r="185" spans="1:9" x14ac:dyDescent="0.3">
      <c r="A185" s="7" t="s">
        <v>44</v>
      </c>
      <c r="B185" s="7">
        <v>2018</v>
      </c>
      <c r="C185" s="8">
        <v>5.3620000000000001</v>
      </c>
      <c r="D185" s="8">
        <v>6.758</v>
      </c>
      <c r="E185" s="8">
        <v>6.3479999999999999</v>
      </c>
      <c r="F185" s="8">
        <v>5.6950000000000003</v>
      </c>
      <c r="G185" s="8">
        <v>5.8289999999999997</v>
      </c>
      <c r="H185" s="8">
        <v>5.4279999999999999</v>
      </c>
      <c r="I185" s="8">
        <v>6.5439999999999996</v>
      </c>
    </row>
    <row r="186" spans="1:9" x14ac:dyDescent="0.3">
      <c r="A186" s="7" t="s">
        <v>44</v>
      </c>
      <c r="B186" s="7">
        <v>2019</v>
      </c>
      <c r="C186" s="8">
        <v>5.9710000000000001</v>
      </c>
      <c r="D186" s="8">
        <v>7.2359999999999998</v>
      </c>
      <c r="E186" s="8">
        <v>6.58</v>
      </c>
      <c r="F186" s="8">
        <v>6.3840000000000003</v>
      </c>
      <c r="G186" s="8">
        <v>5.8689999999999998</v>
      </c>
      <c r="H186" s="8">
        <v>5.5330000000000004</v>
      </c>
      <c r="I186" s="8">
        <v>6.968</v>
      </c>
    </row>
    <row r="187" spans="1:9" x14ac:dyDescent="0.3">
      <c r="A187" s="7" t="s">
        <v>44</v>
      </c>
      <c r="B187" s="7">
        <v>2020</v>
      </c>
      <c r="C187" s="8">
        <v>6.8250000000000002</v>
      </c>
      <c r="D187" s="8">
        <v>8.0129999999999999</v>
      </c>
      <c r="E187" s="8">
        <v>7.1509999999999998</v>
      </c>
      <c r="F187" s="8">
        <v>7.306</v>
      </c>
      <c r="G187" s="8">
        <v>6.5880000000000001</v>
      </c>
      <c r="H187" s="8">
        <v>6.4690000000000003</v>
      </c>
      <c r="I187" s="8">
        <v>6.774</v>
      </c>
    </row>
    <row r="188" spans="1:9" x14ac:dyDescent="0.3">
      <c r="A188" s="7" t="s">
        <v>44</v>
      </c>
      <c r="B188" s="7">
        <v>2021</v>
      </c>
      <c r="C188" s="8">
        <v>7.3479999999999999</v>
      </c>
      <c r="D188" s="8">
        <v>8.4860000000000007</v>
      </c>
      <c r="E188" s="8">
        <v>7.601</v>
      </c>
      <c r="F188" s="8">
        <v>7.9020000000000001</v>
      </c>
      <c r="G188" s="8">
        <v>7.032</v>
      </c>
      <c r="H188" s="8">
        <v>7.69</v>
      </c>
      <c r="I188" s="8">
        <v>6.7610000000000001</v>
      </c>
    </row>
    <row r="189" spans="1:9" x14ac:dyDescent="0.3">
      <c r="A189" s="7" t="s">
        <v>44</v>
      </c>
      <c r="B189" s="7">
        <v>2022</v>
      </c>
      <c r="C189" s="8">
        <v>7.75</v>
      </c>
      <c r="D189" s="8">
        <v>8.8109999999999999</v>
      </c>
      <c r="E189" s="8">
        <v>7.5039999999999996</v>
      </c>
      <c r="F189" s="8">
        <v>8.1150000000000002</v>
      </c>
      <c r="G189" s="8">
        <v>7.0259999999999998</v>
      </c>
      <c r="H189" s="8">
        <v>8.1329999999999991</v>
      </c>
      <c r="I189" s="8">
        <v>6.9690000000000003</v>
      </c>
    </row>
    <row r="190" spans="1:9" x14ac:dyDescent="0.3">
      <c r="A190" s="7" t="s">
        <v>44</v>
      </c>
      <c r="B190" s="7">
        <v>2023</v>
      </c>
      <c r="C190" s="8">
        <v>8.016</v>
      </c>
      <c r="D190" s="8">
        <v>9.4870000000000001</v>
      </c>
      <c r="E190" s="8">
        <v>7.9950000000000001</v>
      </c>
      <c r="F190" s="8">
        <v>8.8360000000000003</v>
      </c>
      <c r="G190" s="8">
        <v>7.1139999999999999</v>
      </c>
      <c r="H190" s="8">
        <v>8.4659999999999993</v>
      </c>
      <c r="I190" s="8">
        <v>7.452</v>
      </c>
    </row>
    <row r="191" spans="1:9" x14ac:dyDescent="0.3">
      <c r="A191" s="7" t="s">
        <v>44</v>
      </c>
      <c r="B191" s="7">
        <v>2024</v>
      </c>
      <c r="C191" s="8">
        <v>8.1389999999999993</v>
      </c>
      <c r="D191" s="8">
        <v>10.178000000000001</v>
      </c>
      <c r="E191" s="8">
        <v>8.2010000000000005</v>
      </c>
      <c r="F191" s="8">
        <v>9.0879999999999992</v>
      </c>
      <c r="G191" s="8">
        <v>7.3250000000000002</v>
      </c>
      <c r="H191" s="8">
        <v>8.7289999999999992</v>
      </c>
      <c r="I191" s="8">
        <v>7.5419999999999998</v>
      </c>
    </row>
    <row r="192" spans="1:9" x14ac:dyDescent="0.3">
      <c r="A192" s="7" t="s">
        <v>45</v>
      </c>
      <c r="B192" s="7">
        <v>2015</v>
      </c>
      <c r="C192" s="8">
        <v>4.3849999999999998</v>
      </c>
      <c r="D192" s="8">
        <v>5.5369999999999999</v>
      </c>
      <c r="E192" s="8">
        <v>4.7430000000000003</v>
      </c>
      <c r="F192" s="8">
        <v>4.2889999999999997</v>
      </c>
      <c r="G192" s="8">
        <v>4.6479999999999997</v>
      </c>
      <c r="H192" s="8">
        <v>4.2190000000000003</v>
      </c>
      <c r="I192" s="8">
        <v>6.12</v>
      </c>
    </row>
    <row r="193" spans="1:9" x14ac:dyDescent="0.3">
      <c r="A193" s="7" t="s">
        <v>45</v>
      </c>
      <c r="B193" s="7">
        <v>2016</v>
      </c>
      <c r="C193" s="8">
        <v>4.32</v>
      </c>
      <c r="D193" s="8">
        <v>5.8449999999999998</v>
      </c>
      <c r="E193" s="8">
        <v>5.1909999999999998</v>
      </c>
      <c r="F193" s="8">
        <v>4.54</v>
      </c>
      <c r="G193" s="8">
        <v>4.9009999999999998</v>
      </c>
      <c r="H193" s="8">
        <v>4.5750000000000002</v>
      </c>
      <c r="I193" s="8">
        <v>6.444</v>
      </c>
    </row>
    <row r="194" spans="1:9" x14ac:dyDescent="0.3">
      <c r="A194" s="7" t="s">
        <v>45</v>
      </c>
      <c r="B194" s="7">
        <v>2017</v>
      </c>
      <c r="C194" s="8">
        <v>4.6669999999999998</v>
      </c>
      <c r="D194" s="8">
        <v>6.6879999999999997</v>
      </c>
      <c r="E194" s="8">
        <v>5.3789999999999996</v>
      </c>
      <c r="F194" s="8">
        <v>4.4109999999999996</v>
      </c>
      <c r="G194" s="8">
        <v>5.234</v>
      </c>
      <c r="H194" s="8">
        <v>4.3890000000000002</v>
      </c>
      <c r="I194" s="8">
        <v>6.806</v>
      </c>
    </row>
    <row r="195" spans="1:9" x14ac:dyDescent="0.3">
      <c r="A195" s="7" t="s">
        <v>45</v>
      </c>
      <c r="B195" s="7">
        <v>2018</v>
      </c>
      <c r="C195" s="8">
        <v>5.25</v>
      </c>
      <c r="D195" s="8">
        <v>6.758</v>
      </c>
      <c r="E195" s="8">
        <v>5.5620000000000003</v>
      </c>
      <c r="F195" s="8">
        <v>4.8239999999999998</v>
      </c>
      <c r="G195" s="8">
        <v>5.3559999999999999</v>
      </c>
      <c r="H195" s="8">
        <v>4.2619999999999996</v>
      </c>
      <c r="I195" s="8">
        <v>6.3049999999999997</v>
      </c>
    </row>
    <row r="196" spans="1:9" x14ac:dyDescent="0.3">
      <c r="A196" s="7" t="s">
        <v>45</v>
      </c>
      <c r="B196" s="7">
        <v>2019</v>
      </c>
      <c r="C196" s="8">
        <v>5.6189999999999998</v>
      </c>
      <c r="D196" s="8">
        <v>7.2119999999999997</v>
      </c>
      <c r="E196" s="8">
        <v>6.1219999999999999</v>
      </c>
      <c r="F196" s="8">
        <v>5.7270000000000003</v>
      </c>
      <c r="G196" s="8">
        <v>5.4749999999999996</v>
      </c>
      <c r="H196" s="8">
        <v>4.7140000000000004</v>
      </c>
      <c r="I196" s="8">
        <v>6.657</v>
      </c>
    </row>
    <row r="197" spans="1:9" x14ac:dyDescent="0.3">
      <c r="A197" s="7" t="s">
        <v>45</v>
      </c>
      <c r="B197" s="7">
        <v>2020</v>
      </c>
      <c r="C197" s="8">
        <v>6.6429999999999998</v>
      </c>
      <c r="D197" s="8">
        <v>7.4589999999999996</v>
      </c>
      <c r="E197" s="8">
        <v>6.14</v>
      </c>
      <c r="F197" s="8">
        <v>6.5960000000000001</v>
      </c>
      <c r="G197" s="8">
        <v>6.3029999999999999</v>
      </c>
      <c r="H197" s="8">
        <v>5.5819999999999999</v>
      </c>
      <c r="I197" s="8">
        <v>6.3639999999999999</v>
      </c>
    </row>
    <row r="198" spans="1:9" x14ac:dyDescent="0.3">
      <c r="A198" s="7" t="s">
        <v>45</v>
      </c>
      <c r="B198" s="7">
        <v>2021</v>
      </c>
      <c r="C198" s="8">
        <v>7.0960000000000001</v>
      </c>
      <c r="D198" s="8">
        <v>8.1669999999999998</v>
      </c>
      <c r="E198" s="8">
        <v>6.3159999999999998</v>
      </c>
      <c r="F198" s="8">
        <v>7.35</v>
      </c>
      <c r="G198" s="8">
        <v>6.7960000000000003</v>
      </c>
      <c r="H198" s="8">
        <v>6.7</v>
      </c>
      <c r="I198" s="8">
        <v>7.0590000000000002</v>
      </c>
    </row>
    <row r="199" spans="1:9" x14ac:dyDescent="0.3">
      <c r="A199" s="7" t="s">
        <v>45</v>
      </c>
      <c r="B199" s="7">
        <v>2022</v>
      </c>
      <c r="C199" s="8">
        <v>7.8010000000000002</v>
      </c>
      <c r="D199" s="8">
        <v>8.5210000000000008</v>
      </c>
      <c r="E199" s="8">
        <v>6.7720000000000002</v>
      </c>
      <c r="F199" s="8">
        <v>8.0380000000000003</v>
      </c>
      <c r="G199" s="8">
        <v>6.242</v>
      </c>
      <c r="H199" s="8">
        <v>7.1970000000000001</v>
      </c>
      <c r="I199" s="8">
        <v>6.93</v>
      </c>
    </row>
    <row r="200" spans="1:9" x14ac:dyDescent="0.3">
      <c r="A200" s="7" t="s">
        <v>45</v>
      </c>
      <c r="B200" s="7">
        <v>2023</v>
      </c>
      <c r="C200" s="8">
        <v>7.5469999999999997</v>
      </c>
      <c r="D200" s="8">
        <v>9.3870000000000005</v>
      </c>
      <c r="E200" s="8">
        <v>6.944</v>
      </c>
      <c r="F200" s="8">
        <v>8.4979999999999993</v>
      </c>
      <c r="G200" s="8">
        <v>6.6360000000000001</v>
      </c>
      <c r="H200" s="8">
        <v>7.6879999999999997</v>
      </c>
      <c r="I200" s="8">
        <v>7.4139999999999997</v>
      </c>
    </row>
    <row r="201" spans="1:9" x14ac:dyDescent="0.3">
      <c r="A201" s="7" t="s">
        <v>45</v>
      </c>
      <c r="B201" s="7">
        <v>2024</v>
      </c>
      <c r="C201" s="8">
        <v>8.1219999999999999</v>
      </c>
      <c r="D201" s="8">
        <v>10.084</v>
      </c>
      <c r="E201" s="8">
        <v>7.625</v>
      </c>
      <c r="F201" s="8">
        <v>8.3819999999999997</v>
      </c>
      <c r="G201" s="8">
        <v>7.141</v>
      </c>
      <c r="H201" s="8">
        <v>7.7930000000000001</v>
      </c>
      <c r="I201" s="8">
        <v>7.4850000000000003</v>
      </c>
    </row>
    <row r="202" spans="1:9" x14ac:dyDescent="0.3">
      <c r="A202" s="7" t="s">
        <v>46</v>
      </c>
      <c r="B202" s="7">
        <v>2015</v>
      </c>
      <c r="C202" s="8">
        <v>4.0289999999999999</v>
      </c>
      <c r="D202" s="8">
        <v>4.2629999999999999</v>
      </c>
      <c r="E202" s="8">
        <v>4.6660000000000004</v>
      </c>
      <c r="F202" s="8">
        <v>4.0270000000000001</v>
      </c>
      <c r="G202" s="8">
        <v>4.1740000000000004</v>
      </c>
      <c r="H202" s="8">
        <v>4.3209999999999997</v>
      </c>
      <c r="I202" s="8">
        <v>6.4720000000000004</v>
      </c>
    </row>
    <row r="203" spans="1:9" x14ac:dyDescent="0.3">
      <c r="A203" s="7" t="s">
        <v>46</v>
      </c>
      <c r="B203" s="7">
        <v>2016</v>
      </c>
      <c r="C203" s="8">
        <v>4.077</v>
      </c>
      <c r="D203" s="8">
        <v>4.9379999999999997</v>
      </c>
      <c r="E203" s="8">
        <v>5.0910000000000002</v>
      </c>
      <c r="F203" s="8">
        <v>4.2640000000000002</v>
      </c>
      <c r="G203" s="8">
        <v>4.2949999999999999</v>
      </c>
      <c r="H203" s="8">
        <v>4.3600000000000003</v>
      </c>
      <c r="I203" s="8">
        <v>6.2649999999999997</v>
      </c>
    </row>
    <row r="204" spans="1:9" x14ac:dyDescent="0.3">
      <c r="A204" s="7" t="s">
        <v>46</v>
      </c>
      <c r="B204" s="7">
        <v>2017</v>
      </c>
      <c r="C204" s="8">
        <v>3.9910000000000001</v>
      </c>
      <c r="D204" s="8">
        <v>4.7610000000000001</v>
      </c>
      <c r="E204" s="8">
        <v>5.3540000000000001</v>
      </c>
      <c r="F204" s="8">
        <v>4.077</v>
      </c>
      <c r="G204" s="8">
        <v>4.96</v>
      </c>
      <c r="H204" s="8">
        <v>4.49</v>
      </c>
      <c r="I204" s="8">
        <v>6.1449999999999996</v>
      </c>
    </row>
    <row r="205" spans="1:9" x14ac:dyDescent="0.3">
      <c r="A205" s="7" t="s">
        <v>46</v>
      </c>
      <c r="B205" s="7">
        <v>2018</v>
      </c>
      <c r="C205" s="8">
        <v>4.1950000000000003</v>
      </c>
      <c r="D205" s="8">
        <v>5.9059999999999997</v>
      </c>
      <c r="E205" s="8">
        <v>5.8380000000000001</v>
      </c>
      <c r="F205" s="8">
        <v>4.3630000000000004</v>
      </c>
      <c r="G205" s="8">
        <v>4.9660000000000002</v>
      </c>
      <c r="H205" s="8">
        <v>4.2850000000000001</v>
      </c>
      <c r="I205" s="8">
        <v>6.125</v>
      </c>
    </row>
    <row r="206" spans="1:9" x14ac:dyDescent="0.3">
      <c r="A206" s="7" t="s">
        <v>46</v>
      </c>
      <c r="B206" s="7">
        <v>2019</v>
      </c>
      <c r="C206" s="8">
        <v>4.7389999999999999</v>
      </c>
      <c r="D206" s="8">
        <v>6.1669999999999998</v>
      </c>
      <c r="E206" s="8">
        <v>6.2270000000000003</v>
      </c>
      <c r="F206" s="8">
        <v>5.0289999999999999</v>
      </c>
      <c r="G206" s="8">
        <v>5.1929999999999996</v>
      </c>
      <c r="H206" s="8">
        <v>4.4580000000000002</v>
      </c>
      <c r="I206" s="8">
        <v>6.5469999999999997</v>
      </c>
    </row>
    <row r="207" spans="1:9" x14ac:dyDescent="0.3">
      <c r="A207" s="7" t="s">
        <v>46</v>
      </c>
      <c r="B207" s="7">
        <v>2020</v>
      </c>
      <c r="C207" s="8">
        <v>5.4740000000000002</v>
      </c>
      <c r="D207" s="8">
        <v>6.0229999999999997</v>
      </c>
      <c r="E207" s="8">
        <v>6.2809999999999997</v>
      </c>
      <c r="F207" s="8">
        <v>5.8220000000000001</v>
      </c>
      <c r="G207" s="8">
        <v>5.9630000000000001</v>
      </c>
      <c r="H207" s="8">
        <v>5.2290000000000001</v>
      </c>
      <c r="I207" s="8">
        <v>5.8609999999999998</v>
      </c>
    </row>
    <row r="208" spans="1:9" x14ac:dyDescent="0.3">
      <c r="A208" s="7" t="s">
        <v>46</v>
      </c>
      <c r="B208" s="7">
        <v>2021</v>
      </c>
      <c r="C208" s="8">
        <v>6.274</v>
      </c>
      <c r="D208" s="8">
        <v>6.7119999999999997</v>
      </c>
      <c r="E208" s="8">
        <v>6.3460000000000001</v>
      </c>
      <c r="F208" s="8">
        <v>6.508</v>
      </c>
      <c r="G208" s="8">
        <v>6.2960000000000003</v>
      </c>
      <c r="H208" s="8">
        <v>7.1790000000000003</v>
      </c>
      <c r="I208" s="8">
        <v>6.585</v>
      </c>
    </row>
    <row r="209" spans="1:9" x14ac:dyDescent="0.3">
      <c r="A209" s="7" t="s">
        <v>46</v>
      </c>
      <c r="B209" s="7">
        <v>2022</v>
      </c>
      <c r="C209" s="8">
        <v>7.0709999999999997</v>
      </c>
      <c r="D209" s="8">
        <v>7.1820000000000004</v>
      </c>
      <c r="E209" s="8">
        <v>6.72</v>
      </c>
      <c r="F209" s="8">
        <v>7.5960000000000001</v>
      </c>
      <c r="G209" s="8">
        <v>5.9169999999999998</v>
      </c>
      <c r="H209" s="8">
        <v>7.6539999999999999</v>
      </c>
      <c r="I209" s="8">
        <v>7.149</v>
      </c>
    </row>
    <row r="210" spans="1:9" x14ac:dyDescent="0.3">
      <c r="A210" s="7" t="s">
        <v>46</v>
      </c>
      <c r="B210" s="7">
        <v>2023</v>
      </c>
      <c r="C210" s="8">
        <v>7.3440000000000003</v>
      </c>
      <c r="D210" s="8">
        <v>7.9870000000000001</v>
      </c>
      <c r="E210" s="8">
        <v>7.085</v>
      </c>
      <c r="F210" s="8">
        <v>7.7039999999999997</v>
      </c>
      <c r="G210" s="8">
        <v>6.202</v>
      </c>
      <c r="H210" s="8">
        <v>7.6340000000000003</v>
      </c>
      <c r="I210" s="8">
        <v>7.2619999999999996</v>
      </c>
    </row>
    <row r="211" spans="1:9" x14ac:dyDescent="0.3">
      <c r="A211" s="7" t="s">
        <v>46</v>
      </c>
      <c r="B211" s="7">
        <v>2024</v>
      </c>
      <c r="C211" s="8">
        <v>7.4189999999999996</v>
      </c>
      <c r="D211" s="8">
        <v>8.298</v>
      </c>
      <c r="E211" s="8">
        <v>7.5250000000000004</v>
      </c>
      <c r="F211" s="8">
        <v>7.6760000000000002</v>
      </c>
      <c r="G211" s="8">
        <v>6.8239999999999998</v>
      </c>
      <c r="H211" s="8">
        <v>7.7430000000000003</v>
      </c>
      <c r="I211" s="8">
        <v>7.383</v>
      </c>
    </row>
    <row r="212" spans="1:9" x14ac:dyDescent="0.3">
      <c r="A212" s="7" t="s">
        <v>47</v>
      </c>
      <c r="B212" s="7">
        <v>2015</v>
      </c>
      <c r="C212" s="8">
        <v>2.633</v>
      </c>
      <c r="D212" s="8">
        <v>5.2789999999999999</v>
      </c>
      <c r="E212" s="8">
        <v>3.3849999999999998</v>
      </c>
      <c r="F212" s="8">
        <v>3.4359999999999999</v>
      </c>
      <c r="G212" s="8">
        <v>3.5379999999999998</v>
      </c>
      <c r="H212" s="8">
        <v>3.3119999999999998</v>
      </c>
      <c r="I212" s="8">
        <v>6.2270000000000003</v>
      </c>
    </row>
    <row r="213" spans="1:9" x14ac:dyDescent="0.3">
      <c r="A213" s="7" t="s">
        <v>47</v>
      </c>
      <c r="B213" s="7">
        <v>2016</v>
      </c>
      <c r="C213" s="8">
        <v>2.734</v>
      </c>
      <c r="D213" s="8">
        <v>5.9829999999999997</v>
      </c>
      <c r="E213" s="8">
        <v>3.8029999999999999</v>
      </c>
      <c r="F213" s="8">
        <v>3.2869999999999999</v>
      </c>
      <c r="G213" s="8">
        <v>3.8130000000000002</v>
      </c>
      <c r="H213" s="8">
        <v>3.18</v>
      </c>
      <c r="I213" s="8">
        <v>6.1479999999999997</v>
      </c>
    </row>
    <row r="214" spans="1:9" x14ac:dyDescent="0.3">
      <c r="A214" s="7" t="s">
        <v>47</v>
      </c>
      <c r="B214" s="7">
        <v>2017</v>
      </c>
      <c r="C214" s="8">
        <v>2.9489999999999998</v>
      </c>
      <c r="D214" s="8">
        <v>6.0759999999999996</v>
      </c>
      <c r="E214" s="8">
        <v>4.3959999999999999</v>
      </c>
      <c r="F214" s="8">
        <v>3.4910000000000001</v>
      </c>
      <c r="G214" s="8">
        <v>3.718</v>
      </c>
      <c r="H214" s="8">
        <v>3.5939999999999999</v>
      </c>
      <c r="I214" s="8">
        <v>6.7169999999999996</v>
      </c>
    </row>
    <row r="215" spans="1:9" x14ac:dyDescent="0.3">
      <c r="A215" s="7" t="s">
        <v>47</v>
      </c>
      <c r="B215" s="7">
        <v>2018</v>
      </c>
      <c r="C215" s="8">
        <v>3.141</v>
      </c>
      <c r="D215" s="8">
        <v>6.67</v>
      </c>
      <c r="E215" s="8">
        <v>4.6449999999999996</v>
      </c>
      <c r="F215" s="8">
        <v>3.92</v>
      </c>
      <c r="G215" s="8">
        <v>4.0750000000000002</v>
      </c>
      <c r="H215" s="8">
        <v>3.601</v>
      </c>
      <c r="I215" s="8">
        <v>6.3419999999999996</v>
      </c>
    </row>
    <row r="216" spans="1:9" x14ac:dyDescent="0.3">
      <c r="A216" s="7" t="s">
        <v>47</v>
      </c>
      <c r="B216" s="7">
        <v>2019</v>
      </c>
      <c r="C216" s="8">
        <v>3.883</v>
      </c>
      <c r="D216" s="8">
        <v>7.4710000000000001</v>
      </c>
      <c r="E216" s="8">
        <v>4.931</v>
      </c>
      <c r="F216" s="8">
        <v>4.133</v>
      </c>
      <c r="G216" s="8">
        <v>4.37</v>
      </c>
      <c r="H216" s="8">
        <v>4.1040000000000001</v>
      </c>
      <c r="I216" s="8">
        <v>6.39</v>
      </c>
    </row>
    <row r="217" spans="1:9" x14ac:dyDescent="0.3">
      <c r="A217" s="7" t="s">
        <v>47</v>
      </c>
      <c r="B217" s="7">
        <v>2020</v>
      </c>
      <c r="C217" s="8">
        <v>4.3929999999999998</v>
      </c>
      <c r="D217" s="8">
        <v>7.2649999999999997</v>
      </c>
      <c r="E217" s="8">
        <v>5.2590000000000003</v>
      </c>
      <c r="F217" s="8">
        <v>4.9669999999999996</v>
      </c>
      <c r="G217" s="8">
        <v>4.9059999999999997</v>
      </c>
      <c r="H217" s="8">
        <v>4.907</v>
      </c>
      <c r="I217" s="8">
        <v>5.8010000000000002</v>
      </c>
    </row>
    <row r="218" spans="1:9" x14ac:dyDescent="0.3">
      <c r="A218" s="7" t="s">
        <v>47</v>
      </c>
      <c r="B218" s="7">
        <v>2021</v>
      </c>
      <c r="C218" s="8">
        <v>5.3550000000000004</v>
      </c>
      <c r="D218" s="8">
        <v>8.7949999999999999</v>
      </c>
      <c r="E218" s="8">
        <v>5.4850000000000003</v>
      </c>
      <c r="F218" s="8">
        <v>5.45</v>
      </c>
      <c r="G218" s="8">
        <v>5.5</v>
      </c>
      <c r="H218" s="8">
        <v>6.226</v>
      </c>
      <c r="I218" s="8">
        <v>6.6630000000000003</v>
      </c>
    </row>
    <row r="219" spans="1:9" x14ac:dyDescent="0.3">
      <c r="A219" s="7" t="s">
        <v>47</v>
      </c>
      <c r="B219" s="7">
        <v>2022</v>
      </c>
      <c r="C219" s="8">
        <v>5.6779999999999999</v>
      </c>
      <c r="D219" s="8">
        <v>8.7729999999999997</v>
      </c>
      <c r="E219" s="8">
        <v>5.6980000000000004</v>
      </c>
      <c r="F219" s="8">
        <v>6.0359999999999996</v>
      </c>
      <c r="G219" s="8">
        <v>5.3120000000000003</v>
      </c>
      <c r="H219" s="8">
        <v>6.7539999999999996</v>
      </c>
      <c r="I219" s="8">
        <v>7.149</v>
      </c>
    </row>
    <row r="220" spans="1:9" x14ac:dyDescent="0.3">
      <c r="A220" s="7" t="s">
        <v>47</v>
      </c>
      <c r="B220" s="7">
        <v>2023</v>
      </c>
      <c r="C220" s="8">
        <v>6.1219999999999999</v>
      </c>
      <c r="D220" s="8">
        <v>9.4489999999999998</v>
      </c>
      <c r="E220" s="8">
        <v>6.016</v>
      </c>
      <c r="F220" s="8">
        <v>6.3570000000000002</v>
      </c>
      <c r="G220" s="8">
        <v>5.6929999999999996</v>
      </c>
      <c r="H220" s="8">
        <v>6.6680000000000001</v>
      </c>
      <c r="I220" s="8">
        <v>7.2409999999999997</v>
      </c>
    </row>
    <row r="221" spans="1:9" x14ac:dyDescent="0.3">
      <c r="A221" s="7" t="s">
        <v>47</v>
      </c>
      <c r="B221" s="7">
        <v>2024</v>
      </c>
      <c r="C221" s="8">
        <v>6.2</v>
      </c>
      <c r="D221" s="8">
        <v>10.72</v>
      </c>
      <c r="E221" s="8">
        <v>6.3929999999999998</v>
      </c>
      <c r="F221" s="8">
        <v>6.7110000000000003</v>
      </c>
      <c r="G221" s="8">
        <v>5.7629999999999999</v>
      </c>
      <c r="H221" s="8">
        <v>6.9009999999999998</v>
      </c>
      <c r="I221" s="8">
        <v>7.2460000000000004</v>
      </c>
    </row>
    <row r="222" spans="1:9" x14ac:dyDescent="0.3">
      <c r="A222" s="7" t="s">
        <v>48</v>
      </c>
      <c r="B222" s="7">
        <v>2015</v>
      </c>
      <c r="C222" s="8">
        <v>5.1020000000000003</v>
      </c>
      <c r="D222" s="8">
        <v>5.093</v>
      </c>
      <c r="E222" s="8">
        <v>5.4749999999999996</v>
      </c>
      <c r="F222" s="8">
        <v>4.7560000000000002</v>
      </c>
      <c r="G222" s="8">
        <v>5.7190000000000003</v>
      </c>
      <c r="H222" s="8">
        <v>5.0999999999999996</v>
      </c>
      <c r="I222" s="8">
        <v>6.2290000000000001</v>
      </c>
    </row>
    <row r="223" spans="1:9" x14ac:dyDescent="0.3">
      <c r="A223" s="7" t="s">
        <v>48</v>
      </c>
      <c r="B223" s="7">
        <v>2016</v>
      </c>
      <c r="C223" s="8">
        <v>5.0830000000000002</v>
      </c>
      <c r="D223" s="8">
        <v>6.0590000000000002</v>
      </c>
      <c r="E223" s="8">
        <v>5.6369999999999996</v>
      </c>
      <c r="F223" s="8">
        <v>5.0179999999999998</v>
      </c>
      <c r="G223" s="8">
        <v>5.7779999999999996</v>
      </c>
      <c r="H223" s="8">
        <v>4.8120000000000003</v>
      </c>
      <c r="I223" s="8">
        <v>6.2110000000000003</v>
      </c>
    </row>
    <row r="224" spans="1:9" x14ac:dyDescent="0.3">
      <c r="A224" s="7" t="s">
        <v>48</v>
      </c>
      <c r="B224" s="7">
        <v>2017</v>
      </c>
      <c r="C224" s="8">
        <v>5.2</v>
      </c>
      <c r="D224" s="8">
        <v>6.4470000000000001</v>
      </c>
      <c r="E224" s="8">
        <v>5.8650000000000002</v>
      </c>
      <c r="F224" s="8">
        <v>4.9290000000000003</v>
      </c>
      <c r="G224" s="8">
        <v>5.8280000000000003</v>
      </c>
      <c r="H224" s="8">
        <v>5.0069999999999997</v>
      </c>
      <c r="I224" s="8">
        <v>6.452</v>
      </c>
    </row>
    <row r="225" spans="1:9" x14ac:dyDescent="0.3">
      <c r="A225" s="7" t="s">
        <v>48</v>
      </c>
      <c r="B225" s="7">
        <v>2018</v>
      </c>
      <c r="C225" s="8">
        <v>5.9169999999999998</v>
      </c>
      <c r="D225" s="8">
        <v>6.48</v>
      </c>
      <c r="E225" s="8">
        <v>6.2080000000000002</v>
      </c>
      <c r="F225" s="8">
        <v>5.4649999999999999</v>
      </c>
      <c r="G225" s="8">
        <v>6.226</v>
      </c>
      <c r="H225" s="8">
        <v>5.0410000000000004</v>
      </c>
      <c r="I225" s="8">
        <v>6.6479999999999997</v>
      </c>
    </row>
    <row r="226" spans="1:9" x14ac:dyDescent="0.3">
      <c r="A226" s="7" t="s">
        <v>48</v>
      </c>
      <c r="B226" s="7">
        <v>2019</v>
      </c>
      <c r="C226" s="8">
        <v>6.0119999999999996</v>
      </c>
      <c r="D226" s="8">
        <v>7.2480000000000002</v>
      </c>
      <c r="E226" s="8">
        <v>6.4649999999999999</v>
      </c>
      <c r="F226" s="8">
        <v>5.9960000000000004</v>
      </c>
      <c r="G226" s="8">
        <v>6.6829999999999998</v>
      </c>
      <c r="H226" s="8">
        <v>5.5229999999999997</v>
      </c>
      <c r="I226" s="8">
        <v>6.38</v>
      </c>
    </row>
    <row r="227" spans="1:9" x14ac:dyDescent="0.3">
      <c r="A227" s="7" t="s">
        <v>48</v>
      </c>
      <c r="B227" s="7">
        <v>2020</v>
      </c>
      <c r="C227" s="8">
        <v>7.0490000000000004</v>
      </c>
      <c r="D227" s="8">
        <v>7.7110000000000003</v>
      </c>
      <c r="E227" s="8">
        <v>6.8109999999999999</v>
      </c>
      <c r="F227" s="8">
        <v>6.7480000000000002</v>
      </c>
      <c r="G227" s="8">
        <v>7.3220000000000001</v>
      </c>
      <c r="H227" s="8">
        <v>5.7969999999999997</v>
      </c>
      <c r="I227" s="8">
        <v>6.6589999999999998</v>
      </c>
    </row>
    <row r="228" spans="1:9" x14ac:dyDescent="0.3">
      <c r="A228" s="7" t="s">
        <v>48</v>
      </c>
      <c r="B228" s="7">
        <v>2021</v>
      </c>
      <c r="C228" s="8">
        <v>7.77</v>
      </c>
      <c r="D228" s="8">
        <v>8.4090000000000007</v>
      </c>
      <c r="E228" s="8">
        <v>6.92</v>
      </c>
      <c r="F228" s="8">
        <v>7.8940000000000001</v>
      </c>
      <c r="G228" s="8">
        <v>7.7359999999999998</v>
      </c>
      <c r="H228" s="8">
        <v>7.234</v>
      </c>
      <c r="I228" s="8">
        <v>6.7759999999999998</v>
      </c>
    </row>
    <row r="229" spans="1:9" x14ac:dyDescent="0.3">
      <c r="A229" s="7" t="s">
        <v>48</v>
      </c>
      <c r="B229" s="7">
        <v>2022</v>
      </c>
      <c r="C229" s="8">
        <v>7.9749999999999996</v>
      </c>
      <c r="D229" s="8">
        <v>8.5389999999999997</v>
      </c>
      <c r="E229" s="8">
        <v>7.5540000000000003</v>
      </c>
      <c r="F229" s="8">
        <v>8.266</v>
      </c>
      <c r="G229" s="8">
        <v>7.1550000000000002</v>
      </c>
      <c r="H229" s="8">
        <v>8.0109999999999992</v>
      </c>
      <c r="I229" s="8">
        <v>7.3460000000000001</v>
      </c>
    </row>
    <row r="230" spans="1:9" x14ac:dyDescent="0.3">
      <c r="A230" s="7" t="s">
        <v>48</v>
      </c>
      <c r="B230" s="7">
        <v>2023</v>
      </c>
      <c r="C230" s="8">
        <v>8.7170000000000005</v>
      </c>
      <c r="D230" s="8">
        <v>9.2989999999999995</v>
      </c>
      <c r="E230" s="8">
        <v>7.6130000000000004</v>
      </c>
      <c r="F230" s="8">
        <v>8.4489999999999998</v>
      </c>
      <c r="G230" s="8">
        <v>7.5129999999999999</v>
      </c>
      <c r="H230" s="8">
        <v>8.1539999999999999</v>
      </c>
      <c r="I230" s="8">
        <v>7.4160000000000004</v>
      </c>
    </row>
    <row r="231" spans="1:9" x14ac:dyDescent="0.3">
      <c r="A231" s="7" t="s">
        <v>48</v>
      </c>
      <c r="B231" s="7">
        <v>2024</v>
      </c>
      <c r="C231" s="8">
        <v>8.9740000000000002</v>
      </c>
      <c r="D231" s="8">
        <v>9.6709999999999994</v>
      </c>
      <c r="E231" s="8">
        <v>8.1199999999999992</v>
      </c>
      <c r="F231" s="8">
        <v>8.82</v>
      </c>
      <c r="G231" s="8">
        <v>7.9880000000000004</v>
      </c>
      <c r="H231" s="8">
        <v>8.2650000000000006</v>
      </c>
      <c r="I231" s="8">
        <v>7.6280000000000001</v>
      </c>
    </row>
    <row r="232" spans="1:9" x14ac:dyDescent="0.3">
      <c r="A232" s="7" t="s">
        <v>49</v>
      </c>
      <c r="B232" s="7">
        <v>2015</v>
      </c>
      <c r="C232" s="8">
        <v>4.0410000000000004</v>
      </c>
      <c r="D232" s="8">
        <v>5.452</v>
      </c>
      <c r="E232" s="8">
        <v>4.7300000000000004</v>
      </c>
      <c r="F232" s="8">
        <v>4.18</v>
      </c>
      <c r="G232" s="8">
        <v>4.0830000000000002</v>
      </c>
      <c r="H232" s="8">
        <v>4.6449999999999996</v>
      </c>
      <c r="I232" s="8">
        <v>5.992</v>
      </c>
    </row>
    <row r="233" spans="1:9" x14ac:dyDescent="0.3">
      <c r="A233" s="7" t="s">
        <v>49</v>
      </c>
      <c r="B233" s="7">
        <v>2016</v>
      </c>
      <c r="C233" s="8">
        <v>3.996</v>
      </c>
      <c r="D233" s="8">
        <v>5.944</v>
      </c>
      <c r="E233" s="8">
        <v>5.1970000000000001</v>
      </c>
      <c r="F233" s="8">
        <v>4.1479999999999997</v>
      </c>
      <c r="G233" s="8">
        <v>4.6150000000000002</v>
      </c>
      <c r="H233" s="8">
        <v>4.4020000000000001</v>
      </c>
      <c r="I233" s="8">
        <v>6.5819999999999999</v>
      </c>
    </row>
    <row r="234" spans="1:9" x14ac:dyDescent="0.3">
      <c r="A234" s="7" t="s">
        <v>49</v>
      </c>
      <c r="B234" s="7">
        <v>2017</v>
      </c>
      <c r="C234" s="8">
        <v>4.3949999999999996</v>
      </c>
      <c r="D234" s="8">
        <v>6.0979999999999999</v>
      </c>
      <c r="E234" s="8">
        <v>5.4619999999999997</v>
      </c>
      <c r="F234" s="8">
        <v>4.5979999999999999</v>
      </c>
      <c r="G234" s="8">
        <v>4.6440000000000001</v>
      </c>
      <c r="H234" s="8">
        <v>4.4020000000000001</v>
      </c>
      <c r="I234" s="8">
        <v>6.4950000000000001</v>
      </c>
    </row>
    <row r="235" spans="1:9" x14ac:dyDescent="0.3">
      <c r="A235" s="7" t="s">
        <v>49</v>
      </c>
      <c r="B235" s="7">
        <v>2018</v>
      </c>
      <c r="C235" s="8">
        <v>4.758</v>
      </c>
      <c r="D235" s="8">
        <v>6.883</v>
      </c>
      <c r="E235" s="8">
        <v>5.7850000000000001</v>
      </c>
      <c r="F235" s="8">
        <v>4.6230000000000002</v>
      </c>
      <c r="G235" s="8">
        <v>5.1559999999999997</v>
      </c>
      <c r="H235" s="8">
        <v>4.8079999999999998</v>
      </c>
      <c r="I235" s="8">
        <v>6.633</v>
      </c>
    </row>
    <row r="236" spans="1:9" x14ac:dyDescent="0.3">
      <c r="A236" s="7" t="s">
        <v>49</v>
      </c>
      <c r="B236" s="7">
        <v>2019</v>
      </c>
      <c r="C236" s="8">
        <v>5.4509999999999996</v>
      </c>
      <c r="D236" s="8">
        <v>7.2939999999999996</v>
      </c>
      <c r="E236" s="8">
        <v>6.1219999999999999</v>
      </c>
      <c r="F236" s="8">
        <v>5.274</v>
      </c>
      <c r="G236" s="8">
        <v>5.3070000000000004</v>
      </c>
      <c r="H236" s="8">
        <v>5.0190000000000001</v>
      </c>
      <c r="I236" s="8">
        <v>6.617</v>
      </c>
    </row>
    <row r="237" spans="1:9" x14ac:dyDescent="0.3">
      <c r="A237" s="7" t="s">
        <v>49</v>
      </c>
      <c r="B237" s="7">
        <v>2020</v>
      </c>
      <c r="C237" s="8">
        <v>6.4189999999999996</v>
      </c>
      <c r="D237" s="8">
        <v>7.8310000000000004</v>
      </c>
      <c r="E237" s="8">
        <v>5.984</v>
      </c>
      <c r="F237" s="8">
        <v>5.7759999999999998</v>
      </c>
      <c r="G237" s="8">
        <v>6.0129999999999999</v>
      </c>
      <c r="H237" s="8">
        <v>6.3280000000000003</v>
      </c>
      <c r="I237" s="8">
        <v>6.39</v>
      </c>
    </row>
    <row r="238" spans="1:9" x14ac:dyDescent="0.3">
      <c r="A238" s="7" t="s">
        <v>49</v>
      </c>
      <c r="B238" s="7">
        <v>2021</v>
      </c>
      <c r="C238" s="8">
        <v>7.0119999999999996</v>
      </c>
      <c r="D238" s="8">
        <v>8.4209999999999994</v>
      </c>
      <c r="E238" s="8">
        <v>6.7050000000000001</v>
      </c>
      <c r="F238" s="8">
        <v>6.3390000000000004</v>
      </c>
      <c r="G238" s="8">
        <v>6.4370000000000003</v>
      </c>
      <c r="H238" s="8">
        <v>7.33</v>
      </c>
      <c r="I238" s="8">
        <v>7.218</v>
      </c>
    </row>
    <row r="239" spans="1:9" x14ac:dyDescent="0.3">
      <c r="A239" s="7" t="s">
        <v>49</v>
      </c>
      <c r="B239" s="7">
        <v>2022</v>
      </c>
      <c r="C239" s="8">
        <v>7.4909999999999997</v>
      </c>
      <c r="D239" s="8">
        <v>9.0510000000000002</v>
      </c>
      <c r="E239" s="8">
        <v>6.7469999999999999</v>
      </c>
      <c r="F239" s="8">
        <v>7.2050000000000001</v>
      </c>
      <c r="G239" s="8">
        <v>6.0469999999999997</v>
      </c>
      <c r="H239" s="8">
        <v>7.8680000000000003</v>
      </c>
      <c r="I239" s="8">
        <v>7.4240000000000004</v>
      </c>
    </row>
    <row r="240" spans="1:9" x14ac:dyDescent="0.3">
      <c r="A240" s="7" t="s">
        <v>49</v>
      </c>
      <c r="B240" s="7">
        <v>2023</v>
      </c>
      <c r="C240" s="8">
        <v>7.6340000000000003</v>
      </c>
      <c r="D240" s="8">
        <v>9.8559999999999999</v>
      </c>
      <c r="E240" s="8">
        <v>7.1429999999999998</v>
      </c>
      <c r="F240" s="8">
        <v>7.4029999999999996</v>
      </c>
      <c r="G240" s="8">
        <v>6.391</v>
      </c>
      <c r="H240" s="8">
        <v>7.7939999999999996</v>
      </c>
      <c r="I240" s="8">
        <v>7.5819999999999999</v>
      </c>
    </row>
    <row r="241" spans="1:9" x14ac:dyDescent="0.3">
      <c r="A241" s="7" t="s">
        <v>49</v>
      </c>
      <c r="B241" s="7">
        <v>2024</v>
      </c>
      <c r="C241" s="8">
        <v>7.7839999999999998</v>
      </c>
      <c r="D241" s="8">
        <v>9.7430000000000003</v>
      </c>
      <c r="E241" s="8">
        <v>7.3070000000000004</v>
      </c>
      <c r="F241" s="8">
        <v>7.52</v>
      </c>
      <c r="G241" s="8">
        <v>6.8029999999999999</v>
      </c>
      <c r="H241" s="8">
        <v>8.1170000000000009</v>
      </c>
      <c r="I241" s="8">
        <v>7.3970000000000002</v>
      </c>
    </row>
    <row r="242" spans="1:9" x14ac:dyDescent="0.3">
      <c r="A242" s="7" t="s">
        <v>50</v>
      </c>
      <c r="B242" s="7">
        <v>2015</v>
      </c>
      <c r="C242" s="8">
        <v>4.2960000000000003</v>
      </c>
      <c r="D242" s="8">
        <v>5.3150000000000004</v>
      </c>
      <c r="E242" s="8">
        <v>4.9619999999999997</v>
      </c>
      <c r="F242" s="8">
        <v>3.5979999999999999</v>
      </c>
      <c r="G242" s="8">
        <v>4.1820000000000004</v>
      </c>
      <c r="H242" s="8">
        <v>4.59</v>
      </c>
      <c r="I242" s="8">
        <v>6.1269999999999998</v>
      </c>
    </row>
    <row r="243" spans="1:9" x14ac:dyDescent="0.3">
      <c r="A243" s="7" t="s">
        <v>50</v>
      </c>
      <c r="B243" s="7">
        <v>2016</v>
      </c>
      <c r="C243" s="8">
        <v>4.5259999999999998</v>
      </c>
      <c r="D243" s="8">
        <v>5.8869999999999996</v>
      </c>
      <c r="E243" s="8">
        <v>5.2690000000000001</v>
      </c>
      <c r="F243" s="8">
        <v>3.6869999999999998</v>
      </c>
      <c r="G243" s="8">
        <v>4.1829999999999998</v>
      </c>
      <c r="H243" s="8">
        <v>4.6619999999999999</v>
      </c>
      <c r="I243" s="8">
        <v>6.2919999999999998</v>
      </c>
    </row>
    <row r="244" spans="1:9" x14ac:dyDescent="0.3">
      <c r="A244" s="7" t="s">
        <v>50</v>
      </c>
      <c r="B244" s="7">
        <v>2017</v>
      </c>
      <c r="C244" s="8">
        <v>4.4420000000000002</v>
      </c>
      <c r="D244" s="8">
        <v>5.8739999999999997</v>
      </c>
      <c r="E244" s="8">
        <v>5.6059999999999999</v>
      </c>
      <c r="F244" s="8">
        <v>4.0049999999999999</v>
      </c>
      <c r="G244" s="8">
        <v>4.8339999999999996</v>
      </c>
      <c r="H244" s="8">
        <v>4.7279999999999998</v>
      </c>
      <c r="I244" s="8">
        <v>6.2939999999999996</v>
      </c>
    </row>
    <row r="245" spans="1:9" x14ac:dyDescent="0.3">
      <c r="A245" s="7" t="s">
        <v>50</v>
      </c>
      <c r="B245" s="7">
        <v>2018</v>
      </c>
      <c r="C245" s="8">
        <v>5.1280000000000001</v>
      </c>
      <c r="D245" s="8">
        <v>6.9740000000000002</v>
      </c>
      <c r="E245" s="8">
        <v>6.0640000000000001</v>
      </c>
      <c r="F245" s="8">
        <v>4.4359999999999999</v>
      </c>
      <c r="G245" s="8">
        <v>5.133</v>
      </c>
      <c r="H245" s="8">
        <v>4.4379999999999997</v>
      </c>
      <c r="I245" s="8">
        <v>6.3710000000000004</v>
      </c>
    </row>
    <row r="246" spans="1:9" x14ac:dyDescent="0.3">
      <c r="A246" s="7" t="s">
        <v>50</v>
      </c>
      <c r="B246" s="7">
        <v>2019</v>
      </c>
      <c r="C246" s="8">
        <v>5.4770000000000003</v>
      </c>
      <c r="D246" s="8">
        <v>7.0279999999999996</v>
      </c>
      <c r="E246" s="8">
        <v>6.4329999999999998</v>
      </c>
      <c r="F246" s="8">
        <v>5.1100000000000003</v>
      </c>
      <c r="G246" s="8">
        <v>5.407</v>
      </c>
      <c r="H246" s="8">
        <v>5.0860000000000003</v>
      </c>
      <c r="I246" s="8">
        <v>6.6879999999999997</v>
      </c>
    </row>
    <row r="247" spans="1:9" x14ac:dyDescent="0.3">
      <c r="A247" s="7" t="s">
        <v>50</v>
      </c>
      <c r="B247" s="7">
        <v>2020</v>
      </c>
      <c r="C247" s="8">
        <v>6.3650000000000002</v>
      </c>
      <c r="D247" s="8">
        <v>8.0380000000000003</v>
      </c>
      <c r="E247" s="8">
        <v>6.3029999999999999</v>
      </c>
      <c r="F247" s="8">
        <v>6.02</v>
      </c>
      <c r="G247" s="8">
        <v>6.0430000000000001</v>
      </c>
      <c r="H247" s="8">
        <v>5.633</v>
      </c>
      <c r="I247" s="8">
        <v>6.5439999999999996</v>
      </c>
    </row>
    <row r="248" spans="1:9" x14ac:dyDescent="0.3">
      <c r="A248" s="7" t="s">
        <v>50</v>
      </c>
      <c r="B248" s="7">
        <v>2021</v>
      </c>
      <c r="C248" s="8">
        <v>7.04</v>
      </c>
      <c r="D248" s="8">
        <v>8.2089999999999996</v>
      </c>
      <c r="E248" s="8">
        <v>6.6210000000000004</v>
      </c>
      <c r="F248" s="8">
        <v>6.4909999999999997</v>
      </c>
      <c r="G248" s="8">
        <v>6.2110000000000003</v>
      </c>
      <c r="H248" s="8">
        <v>6.9340000000000002</v>
      </c>
      <c r="I248" s="8">
        <v>7.0869999999999997</v>
      </c>
    </row>
    <row r="249" spans="1:9" x14ac:dyDescent="0.3">
      <c r="A249" s="7" t="s">
        <v>50</v>
      </c>
      <c r="B249" s="7">
        <v>2022</v>
      </c>
      <c r="C249" s="8">
        <v>7.4029999999999996</v>
      </c>
      <c r="D249" s="8">
        <v>8.9019999999999992</v>
      </c>
      <c r="E249" s="8">
        <v>6.9859999999999998</v>
      </c>
      <c r="F249" s="8">
        <v>6.6929999999999996</v>
      </c>
      <c r="G249" s="8">
        <v>6.1420000000000003</v>
      </c>
      <c r="H249" s="8">
        <v>7.5119999999999996</v>
      </c>
      <c r="I249" s="8">
        <v>7.1289999999999996</v>
      </c>
    </row>
    <row r="250" spans="1:9" x14ac:dyDescent="0.3">
      <c r="A250" s="7" t="s">
        <v>50</v>
      </c>
      <c r="B250" s="7">
        <v>2023</v>
      </c>
      <c r="C250" s="8">
        <v>7.9260000000000002</v>
      </c>
      <c r="D250" s="8">
        <v>9.5679999999999996</v>
      </c>
      <c r="E250" s="8">
        <v>6.9820000000000002</v>
      </c>
      <c r="F250" s="8">
        <v>7.069</v>
      </c>
      <c r="G250" s="8">
        <v>6.431</v>
      </c>
      <c r="H250" s="8">
        <v>7.9630000000000001</v>
      </c>
      <c r="I250" s="8">
        <v>7.1559999999999997</v>
      </c>
    </row>
    <row r="251" spans="1:9" x14ac:dyDescent="0.3">
      <c r="A251" s="7" t="s">
        <v>50</v>
      </c>
      <c r="B251" s="7">
        <v>2024</v>
      </c>
      <c r="C251" s="8">
        <v>8.02</v>
      </c>
      <c r="D251" s="8">
        <v>9.7149999999999999</v>
      </c>
      <c r="E251" s="8">
        <v>7.5039999999999996</v>
      </c>
      <c r="F251" s="8">
        <v>6.9909999999999997</v>
      </c>
      <c r="G251" s="8">
        <v>6.883</v>
      </c>
      <c r="H251" s="8">
        <v>7.9320000000000004</v>
      </c>
      <c r="I251" s="8">
        <v>7.5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266"/>
  <sheetViews>
    <sheetView showGridLines="0" zoomScaleNormal="100" workbookViewId="0">
      <pane xSplit="3" ySplit="16" topLeftCell="D17" activePane="bottomRight" state="frozen"/>
      <selection pane="topRight" activeCell="D1" sqref="D1"/>
      <selection pane="bottomLeft" activeCell="A17" sqref="A17"/>
      <selection pane="bottomRight"/>
    </sheetView>
  </sheetViews>
  <sheetFormatPr defaultColWidth="8.6640625" defaultRowHeight="14.4" x14ac:dyDescent="0.3"/>
  <cols>
    <col min="1" max="1" width="3" customWidth="1"/>
    <col min="2" max="2" width="22" customWidth="1"/>
    <col min="3" max="3" width="7" customWidth="1"/>
    <col min="4" max="10" width="13" customWidth="1"/>
  </cols>
  <sheetData>
    <row r="2" spans="2:10" ht="15.6" x14ac:dyDescent="0.3">
      <c r="B2" s="9" t="s">
        <v>51</v>
      </c>
    </row>
    <row r="4" spans="2:10" ht="66" x14ac:dyDescent="0.3">
      <c r="B4" s="6" t="s">
        <v>52</v>
      </c>
      <c r="C4" s="6" t="s">
        <v>53</v>
      </c>
      <c r="D4" s="6" t="s">
        <v>54</v>
      </c>
      <c r="E4" s="6" t="s">
        <v>55</v>
      </c>
    </row>
    <row r="5" spans="2:10" x14ac:dyDescent="0.3">
      <c r="B5" s="10" t="s">
        <v>19</v>
      </c>
      <c r="C5" s="11">
        <f>AVERAGE('Panel Dataset'!C2:C251)-1.5*STDEV('Panel Dataset'!C2:C251)</f>
        <v>3.2161636281071608</v>
      </c>
      <c r="D5" s="11">
        <f>AVERAGE('Panel Dataset'!C2:C251)</f>
        <v>5.574396000000001</v>
      </c>
      <c r="E5" s="11">
        <f>AVERAGE('Panel Dataset'!C2:C251)+1.5*STDEV('Panel Dataset'!C2:C251)</f>
        <v>7.9326283718928412</v>
      </c>
    </row>
    <row r="6" spans="2:10" x14ac:dyDescent="0.3">
      <c r="B6" s="10" t="s">
        <v>20</v>
      </c>
      <c r="C6" s="11">
        <f>AVERAGE('Panel Dataset'!D2:D251)-1.5*STDEV('Panel Dataset'!D2:D251)</f>
        <v>4.7180115089543859</v>
      </c>
      <c r="D6" s="11">
        <f>AVERAGE('Panel Dataset'!D2:D251)</f>
        <v>7.1171200000000008</v>
      </c>
      <c r="E6" s="11">
        <f>AVERAGE('Panel Dataset'!D2:D251)+1.5*STDEV('Panel Dataset'!D2:D251)</f>
        <v>9.5162284910456165</v>
      </c>
    </row>
    <row r="7" spans="2:10" x14ac:dyDescent="0.3">
      <c r="B7" s="10" t="s">
        <v>21</v>
      </c>
      <c r="C7" s="11">
        <f>AVERAGE('Panel Dataset'!E2:E251)-1.5*STDEV('Panel Dataset'!E2:E251)</f>
        <v>4.1670388648265329</v>
      </c>
      <c r="D7" s="11">
        <f>AVERAGE('Panel Dataset'!E2:E251)</f>
        <v>5.7059200000000008</v>
      </c>
      <c r="E7" s="11">
        <f>AVERAGE('Panel Dataset'!E2:E251)+1.5*STDEV('Panel Dataset'!E2:E251)</f>
        <v>7.2448011351734687</v>
      </c>
    </row>
    <row r="8" spans="2:10" x14ac:dyDescent="0.3">
      <c r="B8" s="10" t="s">
        <v>22</v>
      </c>
      <c r="C8" s="11">
        <f>AVERAGE('Panel Dataset'!F2:F251)-1.5*STDEV('Panel Dataset'!F2:F251)</f>
        <v>3.263635660530527</v>
      </c>
      <c r="D8" s="11">
        <f>AVERAGE('Panel Dataset'!F2:F251)</f>
        <v>5.6352200000000012</v>
      </c>
      <c r="E8" s="11">
        <f>AVERAGE('Panel Dataset'!F2:F251)+1.5*STDEV('Panel Dataset'!F2:F251)</f>
        <v>8.0068043394694755</v>
      </c>
    </row>
    <row r="9" spans="2:10" x14ac:dyDescent="0.3">
      <c r="B9" s="10" t="s">
        <v>23</v>
      </c>
      <c r="C9" s="11">
        <f>AVERAGE('Panel Dataset'!G2:G251)-1.5*STDEV('Panel Dataset'!G2:G251)</f>
        <v>3.9463056582061151</v>
      </c>
      <c r="D9" s="11">
        <f>AVERAGE('Panel Dataset'!G2:G251)</f>
        <v>5.4967120000000005</v>
      </c>
      <c r="E9" s="11">
        <f>AVERAGE('Panel Dataset'!G2:G251)+1.5*STDEV('Panel Dataset'!G2:G251)</f>
        <v>7.0471183417938859</v>
      </c>
    </row>
    <row r="10" spans="2:10" x14ac:dyDescent="0.3">
      <c r="B10" s="10" t="s">
        <v>24</v>
      </c>
      <c r="C10" s="11">
        <f>AVERAGE('Panel Dataset'!H2:H251)-1.5*STDEV('Panel Dataset'!H2:H251)</f>
        <v>3.1305490857719347</v>
      </c>
      <c r="D10" s="11">
        <f>AVERAGE('Panel Dataset'!H2:H251)</f>
        <v>5.459787999999997</v>
      </c>
      <c r="E10" s="11">
        <f>AVERAGE('Panel Dataset'!H2:H251)+1.5*STDEV('Panel Dataset'!H2:H251)</f>
        <v>7.7890269142280593</v>
      </c>
    </row>
    <row r="11" spans="2:10" x14ac:dyDescent="0.3">
      <c r="B11" s="10" t="s">
        <v>25</v>
      </c>
      <c r="C11" s="11">
        <f>AVERAGE('Panel Dataset'!I2:I251)-1.5*STDEV('Panel Dataset'!I2:I251)</f>
        <v>5.8928816928035861</v>
      </c>
      <c r="D11" s="11">
        <f>AVERAGE('Panel Dataset'!I2:I251)</f>
        <v>6.6487520000000027</v>
      </c>
      <c r="E11" s="11">
        <f>AVERAGE('Panel Dataset'!I2:I251)+1.5*STDEV('Panel Dataset'!I2:I251)</f>
        <v>7.4046223071964192</v>
      </c>
    </row>
    <row r="15" spans="2:10" ht="15.6" x14ac:dyDescent="0.3">
      <c r="B15" s="9" t="s">
        <v>56</v>
      </c>
    </row>
    <row r="16" spans="2:10" ht="39.6" x14ac:dyDescent="0.3">
      <c r="B16" s="6" t="s">
        <v>17</v>
      </c>
      <c r="C16" s="6" t="s">
        <v>18</v>
      </c>
      <c r="D16" s="6" t="s">
        <v>57</v>
      </c>
      <c r="E16" s="6" t="s">
        <v>58</v>
      </c>
      <c r="F16" s="6" t="s">
        <v>59</v>
      </c>
      <c r="G16" s="6" t="s">
        <v>60</v>
      </c>
      <c r="H16" s="6" t="s">
        <v>61</v>
      </c>
      <c r="I16" s="6" t="s">
        <v>62</v>
      </c>
      <c r="J16" s="6" t="s">
        <v>63</v>
      </c>
    </row>
    <row r="17" spans="2:10" x14ac:dyDescent="0.3">
      <c r="B17" s="7" t="str">
        <f>'Panel Dataset'!A2</f>
        <v>ASML Holding N.V.</v>
      </c>
      <c r="C17" s="7">
        <f>'Panel Dataset'!B2</f>
        <v>2015</v>
      </c>
      <c r="D17" s="12">
        <f>IF('Panel Dataset'!C2&gt;=$D$5,1/(1+EXP(-(LN(19)/($E$5-$D$5))*('Panel Dataset'!C2-$D$5))),1/(1+EXP(-(LN(19)/($D$5-$C$5))*('Panel Dataset'!C2-$D$5))))</f>
        <v>4.1460478121556628E-2</v>
      </c>
      <c r="E17" s="12">
        <f>IF('Panel Dataset'!D2&gt;=$D$6,1/(1+EXP(-(LN(19)/($E$6-$D$6))*('Panel Dataset'!D2-$D$6))),1/(1+EXP(-(LN(19)/($D$6-$C$6))*('Panel Dataset'!D2-$D$6))))</f>
        <v>7.8201972060234937E-2</v>
      </c>
      <c r="F17" s="12">
        <f>IF('Panel Dataset'!E2&gt;=$D$7,1/(1+EXP(-(LN(19)/($E$7-$D$7))*('Panel Dataset'!E2-$D$7))),1/(1+EXP(-(LN(19)/($D$7-$C$7))*('Panel Dataset'!E2-$D$7))))</f>
        <v>9.4415666034895224E-3</v>
      </c>
      <c r="G17" s="12">
        <f>IF('Panel Dataset'!F2&gt;=$D$8,1/(1+EXP(-(LN(19)/($E$8-$D$8))*('Panel Dataset'!F2-$D$8))),1/(1+EXP(-(LN(19)/($D$8-$C$8))*('Panel Dataset'!F2-$D$8))))</f>
        <v>2.7791801493445095E-2</v>
      </c>
      <c r="H17" s="12">
        <f>IF('Panel Dataset'!G2&gt;=$D$9,1/(1+EXP(-(LN(19)/($E$9-$D$9))*('Panel Dataset'!G2-$D$9))),1/(1+EXP(-(LN(19)/($D$9-$C$9))*('Panel Dataset'!G2-$D$9))))</f>
        <v>0.17032354776789418</v>
      </c>
      <c r="I17" s="12">
        <f>IF('Panel Dataset'!H2&gt;=$D$10,1/(1+EXP(-(LN(19)/($E$10-$D$10))*('Panel Dataset'!H2-$D$10))),1/(1+EXP(-(LN(19)/($D$10-$C$10))*('Panel Dataset'!H2-$D$10))))</f>
        <v>3.288646543448908E-2</v>
      </c>
      <c r="J17" s="12">
        <f>IF('Panel Dataset'!I2&gt;=$D$11,1/(1+EXP(-(LN(19)/($E$11-$D$11))*('Panel Dataset'!I2-$D$11))),1/(1+EXP(-(LN(19)/($D$11-$C$11))*('Panel Dataset'!I2-$D$11))))</f>
        <v>8.0640446680771069E-2</v>
      </c>
    </row>
    <row r="18" spans="2:10" x14ac:dyDescent="0.3">
      <c r="B18" s="7" t="str">
        <f>'Panel Dataset'!A3</f>
        <v>ASML Holding N.V.</v>
      </c>
      <c r="C18" s="7">
        <f>'Panel Dataset'!B3</f>
        <v>2016</v>
      </c>
      <c r="D18" s="12">
        <f>IF('Panel Dataset'!C3&gt;=$D$5,1/(1+EXP(-(LN(19)/($E$5-$D$5))*('Panel Dataset'!C3-$D$5))),1/(1+EXP(-(LN(19)/($D$5-$C$5))*('Panel Dataset'!C3-$D$5))))</f>
        <v>6.4092268610059011E-2</v>
      </c>
      <c r="E18" s="12">
        <f>IF('Panel Dataset'!D3&gt;=$D$6,1/(1+EXP(-(LN(19)/($E$6-$D$6))*('Panel Dataset'!D3-$D$6))),1/(1+EXP(-(LN(19)/($D$6-$C$6))*('Panel Dataset'!D3-$D$6))))</f>
        <v>0.12478459080018421</v>
      </c>
      <c r="F18" s="12">
        <f>IF('Panel Dataset'!E3&gt;=$D$7,1/(1+EXP(-(LN(19)/($E$7-$D$7))*('Panel Dataset'!E3-$D$7))),1/(1+EXP(-(LN(19)/($D$7-$C$7))*('Panel Dataset'!E3-$D$7))))</f>
        <v>1.5375285919599895E-2</v>
      </c>
      <c r="G18" s="12">
        <f>IF('Panel Dataset'!F3&gt;=$D$8,1/(1+EXP(-(LN(19)/($E$8-$D$8))*('Panel Dataset'!F3-$D$8))),1/(1+EXP(-(LN(19)/($D$8-$C$8))*('Panel Dataset'!F3-$D$8))))</f>
        <v>2.5047807098709161E-2</v>
      </c>
      <c r="H18" s="12">
        <f>IF('Panel Dataset'!G3&gt;=$D$9,1/(1+EXP(-(LN(19)/($E$9-$D$9))*('Panel Dataset'!G3-$D$9))),1/(1+EXP(-(LN(19)/($D$9-$C$9))*('Panel Dataset'!G3-$D$9))))</f>
        <v>0.24356371492693976</v>
      </c>
      <c r="I18" s="12">
        <f>IF('Panel Dataset'!H3&gt;=$D$10,1/(1+EXP(-(LN(19)/($E$10-$D$10))*('Panel Dataset'!H3-$D$10))),1/(1+EXP(-(LN(19)/($D$10-$C$10))*('Panel Dataset'!H3-$D$10))))</f>
        <v>4.0060972387167749E-2</v>
      </c>
      <c r="J18" s="12">
        <f>IF('Panel Dataset'!I3&gt;=$D$11,1/(1+EXP(-(LN(19)/($E$11-$D$11))*('Panel Dataset'!I3-$D$11))),1/(1+EXP(-(LN(19)/($D$11-$C$11))*('Panel Dataset'!I3-$D$11))))</f>
        <v>5.2483896308064507E-2</v>
      </c>
    </row>
    <row r="19" spans="2:10" x14ac:dyDescent="0.3">
      <c r="B19" s="7" t="str">
        <f>'Panel Dataset'!A4</f>
        <v>ASML Holding N.V.</v>
      </c>
      <c r="C19" s="7">
        <f>'Panel Dataset'!B4</f>
        <v>2017</v>
      </c>
      <c r="D19" s="12">
        <f>IF('Panel Dataset'!C4&gt;=$D$5,1/(1+EXP(-(LN(19)/($E$5-$D$5))*('Panel Dataset'!C4-$D$5))),1/(1+EXP(-(LN(19)/($D$5-$C$5))*('Panel Dataset'!C4-$D$5))))</f>
        <v>6.8257453884978947E-2</v>
      </c>
      <c r="E19" s="12">
        <f>IF('Panel Dataset'!D4&gt;=$D$6,1/(1+EXP(-(LN(19)/($E$6-$D$6))*('Panel Dataset'!D4-$D$6))),1/(1+EXP(-(LN(19)/($D$6-$C$6))*('Panel Dataset'!D4-$D$6))))</f>
        <v>0.25814545599258348</v>
      </c>
      <c r="F19" s="12">
        <f>IF('Panel Dataset'!E4&gt;=$D$7,1/(1+EXP(-(LN(19)/($E$7-$D$7))*('Panel Dataset'!E4-$D$7))),1/(1+EXP(-(LN(19)/($D$7-$C$7))*('Panel Dataset'!E4-$D$7))))</f>
        <v>3.2659534875885167E-2</v>
      </c>
      <c r="G19" s="12">
        <f>IF('Panel Dataset'!F4&gt;=$D$8,1/(1+EXP(-(LN(19)/($E$8-$D$8))*('Panel Dataset'!F4-$D$8))),1/(1+EXP(-(LN(19)/($D$8-$C$8))*('Panel Dataset'!F4-$D$8))))</f>
        <v>2.9306519644630762E-2</v>
      </c>
      <c r="H19" s="12">
        <f>IF('Panel Dataset'!G4&gt;=$D$9,1/(1+EXP(-(LN(19)/($E$9-$D$9))*('Panel Dataset'!G4-$D$9))),1/(1+EXP(-(LN(19)/($D$9-$C$9))*('Panel Dataset'!G4-$D$9))))</f>
        <v>0.40813404423716904</v>
      </c>
      <c r="I19" s="12">
        <f>IF('Panel Dataset'!H4&gt;=$D$10,1/(1+EXP(-(LN(19)/($E$10-$D$10))*('Panel Dataset'!H4-$D$10))),1/(1+EXP(-(LN(19)/($D$10-$C$10))*('Panel Dataset'!H4-$D$10))))</f>
        <v>3.3128553705221053E-2</v>
      </c>
      <c r="J19" s="12">
        <f>IF('Panel Dataset'!I4&gt;=$D$11,1/(1+EXP(-(LN(19)/($E$11-$D$11))*('Panel Dataset'!I4-$D$11))),1/(1+EXP(-(LN(19)/($D$11-$C$11))*('Panel Dataset'!I4-$D$11))))</f>
        <v>0.12279488476896552</v>
      </c>
    </row>
    <row r="20" spans="2:10" x14ac:dyDescent="0.3">
      <c r="B20" s="7" t="str">
        <f>'Panel Dataset'!A5</f>
        <v>ASML Holding N.V.</v>
      </c>
      <c r="C20" s="7">
        <f>'Panel Dataset'!B5</f>
        <v>2018</v>
      </c>
      <c r="D20" s="12">
        <f>IF('Panel Dataset'!C5&gt;=$D$5,1/(1+EXP(-(LN(19)/($E$5-$D$5))*('Panel Dataset'!C5-$D$5))),1/(1+EXP(-(LN(19)/($D$5-$C$5))*('Panel Dataset'!C5-$D$5))))</f>
        <v>8.5759147822938184E-2</v>
      </c>
      <c r="E20" s="12">
        <f>IF('Panel Dataset'!D5&gt;=$D$6,1/(1+EXP(-(LN(19)/($E$6-$D$6))*('Panel Dataset'!D5-$D$6))),1/(1+EXP(-(LN(19)/($D$6-$C$6))*('Panel Dataset'!D5-$D$6))))</f>
        <v>0.3272662469566463</v>
      </c>
      <c r="F20" s="12">
        <f>IF('Panel Dataset'!E5&gt;=$D$7,1/(1+EXP(-(LN(19)/($E$7-$D$7))*('Panel Dataset'!E5-$D$7))),1/(1+EXP(-(LN(19)/($D$7-$C$7))*('Panel Dataset'!E5-$D$7))))</f>
        <v>3.9857526910926137E-2</v>
      </c>
      <c r="G20" s="12">
        <f>IF('Panel Dataset'!F5&gt;=$D$8,1/(1+EXP(-(LN(19)/($E$8-$D$8))*('Panel Dataset'!F5-$D$8))),1/(1+EXP(-(LN(19)/($D$8-$C$8))*('Panel Dataset'!F5-$D$8))))</f>
        <v>4.3760295424147798E-2</v>
      </c>
      <c r="H20" s="12">
        <f>IF('Panel Dataset'!G5&gt;=$D$9,1/(1+EXP(-(LN(19)/($E$9-$D$9))*('Panel Dataset'!G5-$D$9))),1/(1+EXP(-(LN(19)/($D$9-$C$9))*('Panel Dataset'!G5-$D$9))))</f>
        <v>0.42753372888666291</v>
      </c>
      <c r="I20" s="12">
        <f>IF('Panel Dataset'!H5&gt;=$D$10,1/(1+EXP(-(LN(19)/($E$10-$D$10))*('Panel Dataset'!H5-$D$10))),1/(1+EXP(-(LN(19)/($D$10-$C$10))*('Panel Dataset'!H5-$D$10))))</f>
        <v>6.4411991759784737E-2</v>
      </c>
      <c r="J20" s="12">
        <f>IF('Panel Dataset'!I5&gt;=$D$11,1/(1+EXP(-(LN(19)/($E$11-$D$11))*('Panel Dataset'!I5-$D$11))),1/(1+EXP(-(LN(19)/($D$11-$C$11))*('Panel Dataset'!I5-$D$11))))</f>
        <v>0.16048940321837318</v>
      </c>
    </row>
    <row r="21" spans="2:10" x14ac:dyDescent="0.3">
      <c r="B21" s="7" t="str">
        <f>'Panel Dataset'!A6</f>
        <v>ASML Holding N.V.</v>
      </c>
      <c r="C21" s="7">
        <f>'Panel Dataset'!B6</f>
        <v>2019</v>
      </c>
      <c r="D21" s="12">
        <f>IF('Panel Dataset'!C6&gt;=$D$5,1/(1+EXP(-(LN(19)/($E$5-$D$5))*('Panel Dataset'!C6-$D$5))),1/(1+EXP(-(LN(19)/($D$5-$C$5))*('Panel Dataset'!C6-$D$5))))</f>
        <v>0.12419705026636295</v>
      </c>
      <c r="E21" s="12">
        <f>IF('Panel Dataset'!D6&gt;=$D$6,1/(1+EXP(-(LN(19)/($E$6-$D$6))*('Panel Dataset'!D6-$D$6))),1/(1+EXP(-(LN(19)/($D$6-$C$6))*('Panel Dataset'!D6-$D$6))))</f>
        <v>0.40095772686154812</v>
      </c>
      <c r="F21" s="12">
        <f>IF('Panel Dataset'!E6&gt;=$D$7,1/(1+EXP(-(LN(19)/($E$7-$D$7))*('Panel Dataset'!E6-$D$7))),1/(1+EXP(-(LN(19)/($D$7-$C$7))*('Panel Dataset'!E6-$D$7))))</f>
        <v>8.9107322330384445E-2</v>
      </c>
      <c r="G21" s="12">
        <f>IF('Panel Dataset'!F6&gt;=$D$8,1/(1+EXP(-(LN(19)/($E$8-$D$8))*('Panel Dataset'!F6-$D$8))),1/(1+EXP(-(LN(19)/($D$8-$C$8))*('Panel Dataset'!F6-$D$8))))</f>
        <v>8.5945007658331379E-2</v>
      </c>
      <c r="H21" s="12">
        <f>IF('Panel Dataset'!G6&gt;=$D$9,1/(1+EXP(-(LN(19)/($E$9-$D$9))*('Panel Dataset'!G6-$D$9))),1/(1+EXP(-(LN(19)/($D$9-$C$9))*('Panel Dataset'!G6-$D$9))))</f>
        <v>0.65143753775473123</v>
      </c>
      <c r="I21" s="12">
        <f>IF('Panel Dataset'!H6&gt;=$D$10,1/(1+EXP(-(LN(19)/($E$10-$D$10))*('Panel Dataset'!H6-$D$10))),1/(1+EXP(-(LN(19)/($D$10-$C$10))*('Panel Dataset'!H6-$D$10))))</f>
        <v>9.5360960281632046E-2</v>
      </c>
      <c r="J21" s="12">
        <f>IF('Panel Dataset'!I6&gt;=$D$11,1/(1+EXP(-(LN(19)/($E$11-$D$11))*('Panel Dataset'!I6-$D$11))),1/(1+EXP(-(LN(19)/($D$11-$C$11))*('Panel Dataset'!I6-$D$11))))</f>
        <v>0.50705804816119138</v>
      </c>
    </row>
    <row r="22" spans="2:10" x14ac:dyDescent="0.3">
      <c r="B22" s="7" t="str">
        <f>'Panel Dataset'!A7</f>
        <v>ASML Holding N.V.</v>
      </c>
      <c r="C22" s="7">
        <f>'Panel Dataset'!B7</f>
        <v>2020</v>
      </c>
      <c r="D22" s="12">
        <f>IF('Panel Dataset'!C7&gt;=$D$5,1/(1+EXP(-(LN(19)/($E$5-$D$5))*('Panel Dataset'!C7-$D$5))),1/(1+EXP(-(LN(19)/($D$5-$C$5))*('Panel Dataset'!C7-$D$5))))</f>
        <v>0.31548200231191648</v>
      </c>
      <c r="E22" s="12">
        <f>IF('Panel Dataset'!D7&gt;=$D$6,1/(1+EXP(-(LN(19)/($E$6-$D$6))*('Panel Dataset'!D7-$D$6))),1/(1+EXP(-(LN(19)/($D$6-$C$6))*('Panel Dataset'!D7-$D$6))))</f>
        <v>0.56976824858707509</v>
      </c>
      <c r="F22" s="12">
        <f>IF('Panel Dataset'!E7&gt;=$D$7,1/(1+EXP(-(LN(19)/($E$7-$D$7))*('Panel Dataset'!E7-$D$7))),1/(1+EXP(-(LN(19)/($D$7-$C$7))*('Panel Dataset'!E7-$D$7))))</f>
        <v>0.11071093042353031</v>
      </c>
      <c r="G22" s="12">
        <f>IF('Panel Dataset'!F7&gt;=$D$8,1/(1+EXP(-(LN(19)/($E$8-$D$8))*('Panel Dataset'!F7-$D$8))),1/(1+EXP(-(LN(19)/($D$8-$C$8))*('Panel Dataset'!F7-$D$8))))</f>
        <v>0.17892405222475141</v>
      </c>
      <c r="H22" s="12">
        <f>IF('Panel Dataset'!G7&gt;=$D$9,1/(1+EXP(-(LN(19)/($E$9-$D$9))*('Panel Dataset'!G7-$D$9))),1/(1+EXP(-(LN(19)/($D$9-$C$9))*('Panel Dataset'!G7-$D$9))))</f>
        <v>0.89850838727486937</v>
      </c>
      <c r="I22" s="12">
        <f>IF('Panel Dataset'!H7&gt;=$D$10,1/(1+EXP(-(LN(19)/($E$10-$D$10))*('Panel Dataset'!H7-$D$10))),1/(1+EXP(-(LN(19)/($D$10-$C$10))*('Panel Dataset'!H7-$D$10))))</f>
        <v>0.25030454285034875</v>
      </c>
      <c r="J22" s="12">
        <f>IF('Panel Dataset'!I7&gt;=$D$11,1/(1+EXP(-(LN(19)/($E$11-$D$11))*('Panel Dataset'!I7-$D$11))),1/(1+EXP(-(LN(19)/($D$11-$C$11))*('Panel Dataset'!I7-$D$11))))</f>
        <v>0.10187353981640167</v>
      </c>
    </row>
    <row r="23" spans="2:10" x14ac:dyDescent="0.3">
      <c r="B23" s="7" t="str">
        <f>'Panel Dataset'!A8</f>
        <v>ASML Holding N.V.</v>
      </c>
      <c r="C23" s="7">
        <f>'Panel Dataset'!B8</f>
        <v>2021</v>
      </c>
      <c r="D23" s="12">
        <f>IF('Panel Dataset'!C8&gt;=$D$5,1/(1+EXP(-(LN(19)/($E$5-$D$5))*('Panel Dataset'!C8-$D$5))),1/(1+EXP(-(LN(19)/($D$5-$C$5))*('Panel Dataset'!C8-$D$5))))</f>
        <v>0.52700667038738169</v>
      </c>
      <c r="E23" s="12">
        <f>IF('Panel Dataset'!D8&gt;=$D$6,1/(1+EXP(-(LN(19)/($E$6-$D$6))*('Panel Dataset'!D8-$D$6))),1/(1+EXP(-(LN(19)/($D$6-$C$6))*('Panel Dataset'!D8-$D$6))))</f>
        <v>0.73991310858769399</v>
      </c>
      <c r="F23" s="12">
        <f>IF('Panel Dataset'!E8&gt;=$D$7,1/(1+EXP(-(LN(19)/($E$7-$D$7))*('Panel Dataset'!E8-$D$7))),1/(1+EXP(-(LN(19)/($D$7-$C$7))*('Panel Dataset'!E8-$D$7))))</f>
        <v>0.19263849425163895</v>
      </c>
      <c r="G23" s="12">
        <f>IF('Panel Dataset'!F8&gt;=$D$8,1/(1+EXP(-(LN(19)/($E$8-$D$8))*('Panel Dataset'!F8-$D$8))),1/(1+EXP(-(LN(19)/($D$8-$C$8))*('Panel Dataset'!F8-$D$8))))</f>
        <v>0.4111820720708963</v>
      </c>
      <c r="H23" s="12">
        <f>IF('Panel Dataset'!G8&gt;=$D$9,1/(1+EXP(-(LN(19)/($E$9-$D$9))*('Panel Dataset'!G8-$D$9))),1/(1+EXP(-(LN(19)/($D$9-$C$9))*('Panel Dataset'!G8-$D$9))))</f>
        <v>0.89798765252254897</v>
      </c>
      <c r="I23" s="12">
        <f>IF('Panel Dataset'!H8&gt;=$D$10,1/(1+EXP(-(LN(19)/($E$10-$D$10))*('Panel Dataset'!H8-$D$10))),1/(1+EXP(-(LN(19)/($D$10-$C$10))*('Panel Dataset'!H8-$D$10))))</f>
        <v>0.53728919218569104</v>
      </c>
      <c r="J23" s="12">
        <f>IF('Panel Dataset'!I8&gt;=$D$11,1/(1+EXP(-(LN(19)/($E$11-$D$11))*('Panel Dataset'!I8-$D$11))),1/(1+EXP(-(LN(19)/($D$11-$C$11))*('Panel Dataset'!I8-$D$11))))</f>
        <v>0.72218905542137335</v>
      </c>
    </row>
    <row r="24" spans="2:10" x14ac:dyDescent="0.3">
      <c r="B24" s="7" t="str">
        <f>'Panel Dataset'!A9</f>
        <v>ASML Holding N.V.</v>
      </c>
      <c r="C24" s="7">
        <f>'Panel Dataset'!B9</f>
        <v>2022</v>
      </c>
      <c r="D24" s="12">
        <f>IF('Panel Dataset'!C9&gt;=$D$5,1/(1+EXP(-(LN(19)/($E$5-$D$5))*('Panel Dataset'!C9-$D$5))),1/(1+EXP(-(LN(19)/($D$5-$C$5))*('Panel Dataset'!C9-$D$5))))</f>
        <v>0.74069046456516341</v>
      </c>
      <c r="E24" s="12">
        <f>IF('Panel Dataset'!D9&gt;=$D$6,1/(1+EXP(-(LN(19)/($E$6-$D$6))*('Panel Dataset'!D9-$D$6))),1/(1+EXP(-(LN(19)/($D$6-$C$6))*('Panel Dataset'!D9-$D$6))))</f>
        <v>0.83797189453297116</v>
      </c>
      <c r="F24" s="12">
        <f>IF('Panel Dataset'!E9&gt;=$D$7,1/(1+EXP(-(LN(19)/($E$7-$D$7))*('Panel Dataset'!E9-$D$7))),1/(1+EXP(-(LN(19)/($D$7-$C$7))*('Panel Dataset'!E9-$D$7))))</f>
        <v>0.24333684934247038</v>
      </c>
      <c r="G24" s="12">
        <f>IF('Panel Dataset'!F9&gt;=$D$8,1/(1+EXP(-(LN(19)/($E$8-$D$8))*('Panel Dataset'!F9-$D$8))),1/(1+EXP(-(LN(19)/($D$8-$C$8))*('Panel Dataset'!F9-$D$8))))</f>
        <v>0.627713266221674</v>
      </c>
      <c r="H24" s="12">
        <f>IF('Panel Dataset'!G9&gt;=$D$9,1/(1+EXP(-(LN(19)/($E$9-$D$9))*('Panel Dataset'!G9-$D$9))),1/(1+EXP(-(LN(19)/($D$9-$C$9))*('Panel Dataset'!G9-$D$9))))</f>
        <v>0.82549698904694824</v>
      </c>
      <c r="I24" s="12">
        <f>IF('Panel Dataset'!H9&gt;=$D$10,1/(1+EXP(-(LN(19)/($E$10-$D$10))*('Panel Dataset'!H9-$D$10))),1/(1+EXP(-(LN(19)/($D$10-$C$10))*('Panel Dataset'!H9-$D$10))))</f>
        <v>0.59344855772498795</v>
      </c>
      <c r="J24" s="12">
        <f>IF('Panel Dataset'!I9&gt;=$D$11,1/(1+EXP(-(LN(19)/($E$11-$D$11))*('Panel Dataset'!I9-$D$11))),1/(1+EXP(-(LN(19)/($D$11-$C$11))*('Panel Dataset'!I9-$D$11))))</f>
        <v>0.94643959703474068</v>
      </c>
    </row>
    <row r="25" spans="2:10" x14ac:dyDescent="0.3">
      <c r="B25" s="7" t="str">
        <f>'Panel Dataset'!A10</f>
        <v>ASML Holding N.V.</v>
      </c>
      <c r="C25" s="7">
        <f>'Panel Dataset'!B10</f>
        <v>2023</v>
      </c>
      <c r="D25" s="12">
        <f>IF('Panel Dataset'!C10&gt;=$D$5,1/(1+EXP(-(LN(19)/($E$5-$D$5))*('Panel Dataset'!C10-$D$5))),1/(1+EXP(-(LN(19)/($D$5-$C$5))*('Panel Dataset'!C10-$D$5))))</f>
        <v>0.78041075179182873</v>
      </c>
      <c r="E25" s="12">
        <f>IF('Panel Dataset'!D10&gt;=$D$6,1/(1+EXP(-(LN(19)/($E$6-$D$6))*('Panel Dataset'!D10-$D$6))),1/(1+EXP(-(LN(19)/($D$6-$C$6))*('Panel Dataset'!D10-$D$6))))</f>
        <v>0.91506768754149348</v>
      </c>
      <c r="F25" s="12">
        <f>IF('Panel Dataset'!E10&gt;=$D$7,1/(1+EXP(-(LN(19)/($E$7-$D$7))*('Panel Dataset'!E10-$D$7))),1/(1+EXP(-(LN(19)/($D$7-$C$7))*('Panel Dataset'!E10-$D$7))))</f>
        <v>0.41152954552836241</v>
      </c>
      <c r="G25" s="12">
        <f>IF('Panel Dataset'!F10&gt;=$D$8,1/(1+EXP(-(LN(19)/($E$8-$D$8))*('Panel Dataset'!F10-$D$8))),1/(1+EXP(-(LN(19)/($D$8-$C$8))*('Panel Dataset'!F10-$D$8))))</f>
        <v>0.74881275110830414</v>
      </c>
      <c r="H25" s="12">
        <f>IF('Panel Dataset'!G10&gt;=$D$9,1/(1+EXP(-(LN(19)/($E$9-$D$9))*('Panel Dataset'!G10-$D$9))),1/(1+EXP(-(LN(19)/($D$9-$C$9))*('Panel Dataset'!G10-$D$9))))</f>
        <v>0.93809304168505769</v>
      </c>
      <c r="I25" s="12">
        <f>IF('Panel Dataset'!H10&gt;=$D$10,1/(1+EXP(-(LN(19)/($E$10-$D$10))*('Panel Dataset'!H10-$D$10))),1/(1+EXP(-(LN(19)/($D$10-$C$10))*('Panel Dataset'!H10-$D$10))))</f>
        <v>0.68763359799696699</v>
      </c>
      <c r="J25" s="12">
        <f>IF('Panel Dataset'!I10&gt;=$D$11,1/(1+EXP(-(LN(19)/($E$11-$D$11))*('Panel Dataset'!I10-$D$11))),1/(1+EXP(-(LN(19)/($D$11-$C$11))*('Panel Dataset'!I10-$D$11))))</f>
        <v>0.94894937585024763</v>
      </c>
    </row>
    <row r="26" spans="2:10" x14ac:dyDescent="0.3">
      <c r="B26" s="7" t="str">
        <f>'Panel Dataset'!A11</f>
        <v>ASML Holding N.V.</v>
      </c>
      <c r="C26" s="7">
        <f>'Panel Dataset'!B11</f>
        <v>2024</v>
      </c>
      <c r="D26" s="12">
        <f>IF('Panel Dataset'!C11&gt;=$D$5,1/(1+EXP(-(LN(19)/($E$5-$D$5))*('Panel Dataset'!C11-$D$5))),1/(1+EXP(-(LN(19)/($D$5-$C$5))*('Panel Dataset'!C11-$D$5))))</f>
        <v>0.82941047155135217</v>
      </c>
      <c r="E26" s="12">
        <f>IF('Panel Dataset'!D11&gt;=$D$6,1/(1+EXP(-(LN(19)/($E$6-$D$6))*('Panel Dataset'!D11-$D$6))),1/(1+EXP(-(LN(19)/($D$6-$C$6))*('Panel Dataset'!D11-$D$6))))</f>
        <v>0.94605744948558534</v>
      </c>
      <c r="F26" s="12">
        <f>IF('Panel Dataset'!E11&gt;=$D$7,1/(1+EXP(-(LN(19)/($E$7-$D$7))*('Panel Dataset'!E11-$D$7))),1/(1+EXP(-(LN(19)/($D$7-$C$7))*('Panel Dataset'!E11-$D$7))))</f>
        <v>0.52536853151491414</v>
      </c>
      <c r="G26" s="12">
        <f>IF('Panel Dataset'!F11&gt;=$D$8,1/(1+EXP(-(LN(19)/($E$8-$D$8))*('Panel Dataset'!F11-$D$8))),1/(1+EXP(-(LN(19)/($D$8-$C$8))*('Panel Dataset'!F11-$D$8))))</f>
        <v>0.71015263829612263</v>
      </c>
      <c r="H26" s="12">
        <f>IF('Panel Dataset'!G11&gt;=$D$9,1/(1+EXP(-(LN(19)/($E$9-$D$9))*('Panel Dataset'!G11-$D$9))),1/(1+EXP(-(LN(19)/($D$9-$C$9))*('Panel Dataset'!G11-$D$9))))</f>
        <v>0.95569988333273304</v>
      </c>
      <c r="I26" s="12">
        <f>IF('Panel Dataset'!H11&gt;=$D$10,1/(1+EXP(-(LN(19)/($E$10-$D$10))*('Panel Dataset'!H11-$D$10))),1/(1+EXP(-(LN(19)/($D$10-$C$10))*('Panel Dataset'!H11-$D$10))))</f>
        <v>0.67083585051835948</v>
      </c>
      <c r="J26" s="12">
        <f>IF('Panel Dataset'!I11&gt;=$D$11,1/(1+EXP(-(LN(19)/($E$11-$D$11))*('Panel Dataset'!I11-$D$11))),1/(1+EXP(-(LN(19)/($D$11-$C$11))*('Panel Dataset'!I11-$D$11))))</f>
        <v>0.87949268227999788</v>
      </c>
    </row>
    <row r="27" spans="2:10" x14ac:dyDescent="0.3">
      <c r="B27" s="7" t="str">
        <f>'Panel Dataset'!A12</f>
        <v>Advanced Micro Devices</v>
      </c>
      <c r="C27" s="7">
        <f>'Panel Dataset'!B12</f>
        <v>2015</v>
      </c>
      <c r="D27" s="12">
        <f>IF('Panel Dataset'!C12&gt;=$D$5,1/(1+EXP(-(LN(19)/($E$5-$D$5))*('Panel Dataset'!C12-$D$5))),1/(1+EXP(-(LN(19)/($D$5-$C$5))*('Panel Dataset'!C12-$D$5))))</f>
        <v>3.7758337941252856E-2</v>
      </c>
      <c r="E27" s="12">
        <f>IF('Panel Dataset'!D12&gt;=$D$6,1/(1+EXP(-(LN(19)/($E$6-$D$6))*('Panel Dataset'!D12-$D$6))),1/(1+EXP(-(LN(19)/($D$6-$C$6))*('Panel Dataset'!D12-$D$6))))</f>
        <v>0.17970843005950982</v>
      </c>
      <c r="F27" s="12">
        <f>IF('Panel Dataset'!E12&gt;=$D$7,1/(1+EXP(-(LN(19)/($E$7-$D$7))*('Panel Dataset'!E12-$D$7))),1/(1+EXP(-(LN(19)/($D$7-$C$7))*('Panel Dataset'!E12-$D$7))))</f>
        <v>1.3097691611925902E-2</v>
      </c>
      <c r="G27" s="12">
        <f>IF('Panel Dataset'!F12&gt;=$D$8,1/(1+EXP(-(LN(19)/($E$8-$D$8))*('Panel Dataset'!F12-$D$8))),1/(1+EXP(-(LN(19)/($D$8-$C$8))*('Panel Dataset'!F12-$D$8))))</f>
        <v>3.8572263842681156E-2</v>
      </c>
      <c r="H27" s="12">
        <f>IF('Panel Dataset'!G12&gt;=$D$9,1/(1+EXP(-(LN(19)/($E$9-$D$9))*('Panel Dataset'!G12-$D$9))),1/(1+EXP(-(LN(19)/($D$9-$C$9))*('Panel Dataset'!G12-$D$9))))</f>
        <v>1.7182690005417365E-2</v>
      </c>
      <c r="I27" s="12">
        <f>IF('Panel Dataset'!H12&gt;=$D$10,1/(1+EXP(-(LN(19)/($E$10-$D$10))*('Panel Dataset'!H12-$D$10))),1/(1+EXP(-(LN(19)/($D$10-$C$10))*('Panel Dataset'!H12-$D$10))))</f>
        <v>4.2873714882085898E-2</v>
      </c>
      <c r="J27" s="12">
        <f>IF('Panel Dataset'!I12&gt;=$D$11,1/(1+EXP(-(LN(19)/($E$11-$D$11))*('Panel Dataset'!I12-$D$11))),1/(1+EXP(-(LN(19)/($D$11-$C$11))*('Panel Dataset'!I12-$D$11))))</f>
        <v>4.8741912556495105E-2</v>
      </c>
    </row>
    <row r="28" spans="2:10" x14ac:dyDescent="0.3">
      <c r="B28" s="7" t="str">
        <f>'Panel Dataset'!A13</f>
        <v>Advanced Micro Devices</v>
      </c>
      <c r="C28" s="7">
        <f>'Panel Dataset'!B13</f>
        <v>2016</v>
      </c>
      <c r="D28" s="12">
        <f>IF('Panel Dataset'!C13&gt;=$D$5,1/(1+EXP(-(LN(19)/($E$5-$D$5))*('Panel Dataset'!C13-$D$5))),1/(1+EXP(-(LN(19)/($D$5-$C$5))*('Panel Dataset'!C13-$D$5))))</f>
        <v>3.8444722610216919E-2</v>
      </c>
      <c r="E28" s="12">
        <f>IF('Panel Dataset'!D13&gt;=$D$6,1/(1+EXP(-(LN(19)/($E$6-$D$6))*('Panel Dataset'!D13-$D$6))),1/(1+EXP(-(LN(19)/($D$6-$C$6))*('Panel Dataset'!D13-$D$6))))</f>
        <v>0.20106704406513856</v>
      </c>
      <c r="F28" s="12">
        <f>IF('Panel Dataset'!E13&gt;=$D$7,1/(1+EXP(-(LN(19)/($E$7-$D$7))*('Panel Dataset'!E13-$D$7))),1/(1+EXP(-(LN(19)/($D$7-$C$7))*('Panel Dataset'!E13-$D$7))))</f>
        <v>2.3851395622625105E-2</v>
      </c>
      <c r="G28" s="12">
        <f>IF('Panel Dataset'!F13&gt;=$D$8,1/(1+EXP(-(LN(19)/($E$8-$D$8))*('Panel Dataset'!F13-$D$8))),1/(1+EXP(-(LN(19)/($D$8-$C$8))*('Panel Dataset'!F13-$D$8))))</f>
        <v>3.2815284417028655E-2</v>
      </c>
      <c r="H28" s="12">
        <f>IF('Panel Dataset'!G13&gt;=$D$9,1/(1+EXP(-(LN(19)/($E$9-$D$9))*('Panel Dataset'!G13-$D$9))),1/(1+EXP(-(LN(19)/($D$9-$C$9))*('Panel Dataset'!G13-$D$9))))</f>
        <v>2.3445216555780857E-2</v>
      </c>
      <c r="I28" s="12">
        <f>IF('Panel Dataset'!H13&gt;=$D$10,1/(1+EXP(-(LN(19)/($E$10-$D$10))*('Panel Dataset'!H13-$D$10))),1/(1+EXP(-(LN(19)/($D$10-$C$10))*('Panel Dataset'!H13-$D$10))))</f>
        <v>5.0570547634185829E-2</v>
      </c>
      <c r="J28" s="12">
        <f>IF('Panel Dataset'!I13&gt;=$D$11,1/(1+EXP(-(LN(19)/($E$11-$D$11))*('Panel Dataset'!I13-$D$11))),1/(1+EXP(-(LN(19)/($D$11-$C$11))*('Panel Dataset'!I13-$D$11))))</f>
        <v>0.11947734152391759</v>
      </c>
    </row>
    <row r="29" spans="2:10" x14ac:dyDescent="0.3">
      <c r="B29" s="7" t="str">
        <f>'Panel Dataset'!A14</f>
        <v>Advanced Micro Devices</v>
      </c>
      <c r="C29" s="7">
        <f>'Panel Dataset'!B14</f>
        <v>2017</v>
      </c>
      <c r="D29" s="12">
        <f>IF('Panel Dataset'!C14&gt;=$D$5,1/(1+EXP(-(LN(19)/($E$5-$D$5))*('Panel Dataset'!C14-$D$5))),1/(1+EXP(-(LN(19)/($D$5-$C$5))*('Panel Dataset'!C14-$D$5))))</f>
        <v>5.6663439436284824E-2</v>
      </c>
      <c r="E29" s="12">
        <f>IF('Panel Dataset'!D14&gt;=$D$6,1/(1+EXP(-(LN(19)/($E$6-$D$6))*('Panel Dataset'!D14-$D$6))),1/(1+EXP(-(LN(19)/($D$6-$C$6))*('Panel Dataset'!D14-$D$6))))</f>
        <v>0.35063375733763152</v>
      </c>
      <c r="F29" s="12">
        <f>IF('Panel Dataset'!E14&gt;=$D$7,1/(1+EXP(-(LN(19)/($E$7-$D$7))*('Panel Dataset'!E14-$D$7))),1/(1+EXP(-(LN(19)/($D$7-$C$7))*('Panel Dataset'!E14-$D$7))))</f>
        <v>7.1254238039666684E-2</v>
      </c>
      <c r="G29" s="12">
        <f>IF('Panel Dataset'!F14&gt;=$D$8,1/(1+EXP(-(LN(19)/($E$8-$D$8))*('Panel Dataset'!F14-$D$8))),1/(1+EXP(-(LN(19)/($D$8-$C$8))*('Panel Dataset'!F14-$D$8))))</f>
        <v>3.7661897973254685E-2</v>
      </c>
      <c r="H29" s="12">
        <f>IF('Panel Dataset'!G14&gt;=$D$9,1/(1+EXP(-(LN(19)/($E$9-$D$9))*('Panel Dataset'!G14-$D$9))),1/(1+EXP(-(LN(19)/($D$9-$C$9))*('Panel Dataset'!G14-$D$9))))</f>
        <v>4.8199708090759623E-2</v>
      </c>
      <c r="I29" s="12">
        <f>IF('Panel Dataset'!H14&gt;=$D$10,1/(1+EXP(-(LN(19)/($E$10-$D$10))*('Panel Dataset'!H14-$D$10))),1/(1+EXP(-(LN(19)/($D$10-$C$10))*('Panel Dataset'!H14-$D$10))))</f>
        <v>4.8546348900888082E-2</v>
      </c>
      <c r="J29" s="12">
        <f>IF('Panel Dataset'!I14&gt;=$D$11,1/(1+EXP(-(LN(19)/($E$11-$D$11))*('Panel Dataset'!I14-$D$11))),1/(1+EXP(-(LN(19)/($D$11-$C$11))*('Panel Dataset'!I14-$D$11))))</f>
        <v>4.3276699465764165E-2</v>
      </c>
    </row>
    <row r="30" spans="2:10" x14ac:dyDescent="0.3">
      <c r="B30" s="7" t="str">
        <f>'Panel Dataset'!A15</f>
        <v>Advanced Micro Devices</v>
      </c>
      <c r="C30" s="7">
        <f>'Panel Dataset'!B15</f>
        <v>2018</v>
      </c>
      <c r="D30" s="12">
        <f>IF('Panel Dataset'!C15&gt;=$D$5,1/(1+EXP(-(LN(19)/($E$5-$D$5))*('Panel Dataset'!C15-$D$5))),1/(1+EXP(-(LN(19)/($D$5-$C$5))*('Panel Dataset'!C15-$D$5))))</f>
        <v>9.2654319335094965E-2</v>
      </c>
      <c r="E30" s="12">
        <f>IF('Panel Dataset'!D15&gt;=$D$6,1/(1+EXP(-(LN(19)/($E$6-$D$6))*('Panel Dataset'!D15-$D$6))),1/(1+EXP(-(LN(19)/($D$6-$C$6))*('Panel Dataset'!D15-$D$6))))</f>
        <v>0.3773320295246354</v>
      </c>
      <c r="F30" s="12">
        <f>IF('Panel Dataset'!E15&gt;=$D$7,1/(1+EXP(-(LN(19)/($E$7-$D$7))*('Panel Dataset'!E15-$D$7))),1/(1+EXP(-(LN(19)/($D$7-$C$7))*('Panel Dataset'!E15-$D$7))))</f>
        <v>5.3468128656428998E-2</v>
      </c>
      <c r="G30" s="12">
        <f>IF('Panel Dataset'!F15&gt;=$D$8,1/(1+EXP(-(LN(19)/($E$8-$D$8))*('Panel Dataset'!F15-$D$8))),1/(1+EXP(-(LN(19)/($D$8-$C$8))*('Panel Dataset'!F15-$D$8))))</f>
        <v>5.5086974937611076E-2</v>
      </c>
      <c r="H30" s="12">
        <f>IF('Panel Dataset'!G15&gt;=$D$9,1/(1+EXP(-(LN(19)/($E$9-$D$9))*('Panel Dataset'!G15-$D$9))),1/(1+EXP(-(LN(19)/($D$9-$C$9))*('Panel Dataset'!G15-$D$9))))</f>
        <v>3.4601438282880967E-2</v>
      </c>
      <c r="I30" s="12">
        <f>IF('Panel Dataset'!H15&gt;=$D$10,1/(1+EXP(-(LN(19)/($E$10-$D$10))*('Panel Dataset'!H15-$D$10))),1/(1+EXP(-(LN(19)/($D$10-$C$10))*('Panel Dataset'!H15-$D$10))))</f>
        <v>4.6487001209771409E-2</v>
      </c>
      <c r="J30" s="12">
        <f>IF('Panel Dataset'!I15&gt;=$D$11,1/(1+EXP(-(LN(19)/($E$11-$D$11))*('Panel Dataset'!I15-$D$11))),1/(1+EXP(-(LN(19)/($D$11-$C$11))*('Panel Dataset'!I15-$D$11))))</f>
        <v>0.10258858110268348</v>
      </c>
    </row>
    <row r="31" spans="2:10" x14ac:dyDescent="0.3">
      <c r="B31" s="7" t="str">
        <f>'Panel Dataset'!A16</f>
        <v>Advanced Micro Devices</v>
      </c>
      <c r="C31" s="7">
        <f>'Panel Dataset'!B16</f>
        <v>2019</v>
      </c>
      <c r="D31" s="12">
        <f>IF('Panel Dataset'!C16&gt;=$D$5,1/(1+EXP(-(LN(19)/($E$5-$D$5))*('Panel Dataset'!C16-$D$5))),1/(1+EXP(-(LN(19)/($D$5-$C$5))*('Panel Dataset'!C16-$D$5))))</f>
        <v>0.10952426917743859</v>
      </c>
      <c r="E31" s="12">
        <f>IF('Panel Dataset'!D16&gt;=$D$6,1/(1+EXP(-(LN(19)/($E$6-$D$6))*('Panel Dataset'!D16-$D$6))),1/(1+EXP(-(LN(19)/($D$6-$C$6))*('Panel Dataset'!D16-$D$6))))</f>
        <v>0.57487511900545696</v>
      </c>
      <c r="F31" s="12">
        <f>IF('Panel Dataset'!E16&gt;=$D$7,1/(1+EXP(-(LN(19)/($E$7-$D$7))*('Panel Dataset'!E16-$D$7))),1/(1+EXP(-(LN(19)/($D$7-$C$7))*('Panel Dataset'!E16-$D$7))))</f>
        <v>0.12109605863336512</v>
      </c>
      <c r="G31" s="12">
        <f>IF('Panel Dataset'!F16&gt;=$D$8,1/(1+EXP(-(LN(19)/($E$8-$D$8))*('Panel Dataset'!F16-$D$8))),1/(1+EXP(-(LN(19)/($D$8-$C$8))*('Panel Dataset'!F16-$D$8))))</f>
        <v>0.16946040543188648</v>
      </c>
      <c r="H31" s="12">
        <f>IF('Panel Dataset'!G16&gt;=$D$9,1/(1+EXP(-(LN(19)/($E$9-$D$9))*('Panel Dataset'!G16-$D$9))),1/(1+EXP(-(LN(19)/($D$9-$C$9))*('Panel Dataset'!G16-$D$9))))</f>
        <v>0.12477478250547806</v>
      </c>
      <c r="I31" s="12">
        <f>IF('Panel Dataset'!H16&gt;=$D$10,1/(1+EXP(-(LN(19)/($E$10-$D$10))*('Panel Dataset'!H16-$D$10))),1/(1+EXP(-(LN(19)/($D$10-$C$10))*('Panel Dataset'!H16-$D$10))))</f>
        <v>6.9708266853448608E-2</v>
      </c>
      <c r="J31" s="12">
        <f>IF('Panel Dataset'!I16&gt;=$D$11,1/(1+EXP(-(LN(19)/($E$11-$D$11))*('Panel Dataset'!I16-$D$11))),1/(1+EXP(-(LN(19)/($D$11-$C$11))*('Panel Dataset'!I16-$D$11))))</f>
        <v>0.40875859055199448</v>
      </c>
    </row>
    <row r="32" spans="2:10" x14ac:dyDescent="0.3">
      <c r="B32" s="7" t="str">
        <f>'Panel Dataset'!A17</f>
        <v>Advanced Micro Devices</v>
      </c>
      <c r="C32" s="7">
        <f>'Panel Dataset'!B17</f>
        <v>2020</v>
      </c>
      <c r="D32" s="12">
        <f>IF('Panel Dataset'!C17&gt;=$D$5,1/(1+EXP(-(LN(19)/($E$5-$D$5))*('Panel Dataset'!C17-$D$5))),1/(1+EXP(-(LN(19)/($D$5-$C$5))*('Panel Dataset'!C17-$D$5))))</f>
        <v>0.25364484359062595</v>
      </c>
      <c r="E32" s="12">
        <f>IF('Panel Dataset'!D17&gt;=$D$6,1/(1+EXP(-(LN(19)/($E$6-$D$6))*('Panel Dataset'!D17-$D$6))),1/(1+EXP(-(LN(19)/($D$6-$C$6))*('Panel Dataset'!D17-$D$6))))</f>
        <v>0.72573814897264732</v>
      </c>
      <c r="F32" s="12">
        <f>IF('Panel Dataset'!E17&gt;=$D$7,1/(1+EXP(-(LN(19)/($E$7-$D$7))*('Panel Dataset'!E17-$D$7))),1/(1+EXP(-(LN(19)/($D$7-$C$7))*('Panel Dataset'!E17-$D$7))))</f>
        <v>0.12926531420082873</v>
      </c>
      <c r="G32" s="12">
        <f>IF('Panel Dataset'!F17&gt;=$D$8,1/(1+EXP(-(LN(19)/($E$8-$D$8))*('Panel Dataset'!F17-$D$8))),1/(1+EXP(-(LN(19)/($D$8-$C$8))*('Panel Dataset'!F17-$D$8))))</f>
        <v>0.40070340080014827</v>
      </c>
      <c r="H32" s="12">
        <f>IF('Panel Dataset'!G17&gt;=$D$9,1/(1+EXP(-(LN(19)/($E$9-$D$9))*('Panel Dataset'!G17-$D$9))),1/(1+EXP(-(LN(19)/($D$9-$C$9))*('Panel Dataset'!G17-$D$9))))</f>
        <v>0.39490037687528129</v>
      </c>
      <c r="I32" s="12">
        <f>IF('Panel Dataset'!H17&gt;=$D$10,1/(1+EXP(-(LN(19)/($E$10-$D$10))*('Panel Dataset'!H17-$D$10))),1/(1+EXP(-(LN(19)/($D$10-$C$10))*('Panel Dataset'!H17-$D$10))))</f>
        <v>0.23497656509346335</v>
      </c>
      <c r="J32" s="12">
        <f>IF('Panel Dataset'!I17&gt;=$D$11,1/(1+EXP(-(LN(19)/($E$11-$D$11))*('Panel Dataset'!I17-$D$11))),1/(1+EXP(-(LN(19)/($D$11-$C$11))*('Panel Dataset'!I17-$D$11))))</f>
        <v>0.1547997939610313</v>
      </c>
    </row>
    <row r="33" spans="2:10" x14ac:dyDescent="0.3">
      <c r="B33" s="7" t="str">
        <f>'Panel Dataset'!A18</f>
        <v>Advanced Micro Devices</v>
      </c>
      <c r="C33" s="7">
        <f>'Panel Dataset'!B18</f>
        <v>2021</v>
      </c>
      <c r="D33" s="12">
        <f>IF('Panel Dataset'!C18&gt;=$D$5,1/(1+EXP(-(LN(19)/($E$5-$D$5))*('Panel Dataset'!C18-$D$5))),1/(1+EXP(-(LN(19)/($D$5-$C$5))*('Panel Dataset'!C18-$D$5))))</f>
        <v>0.44361900562784679</v>
      </c>
      <c r="E33" s="12">
        <f>IF('Panel Dataset'!D18&gt;=$D$6,1/(1+EXP(-(LN(19)/($E$6-$D$6))*('Panel Dataset'!D18-$D$6))),1/(1+EXP(-(LN(19)/($D$6-$C$6))*('Panel Dataset'!D18-$D$6))))</f>
        <v>0.85683702953124696</v>
      </c>
      <c r="F33" s="12">
        <f>IF('Panel Dataset'!E18&gt;=$D$7,1/(1+EXP(-(LN(19)/($E$7-$D$7))*('Panel Dataset'!E18-$D$7))),1/(1+EXP(-(LN(19)/($D$7-$C$7))*('Panel Dataset'!E18-$D$7))))</f>
        <v>0.26733431992386786</v>
      </c>
      <c r="G33" s="12">
        <f>IF('Panel Dataset'!F18&gt;=$D$8,1/(1+EXP(-(LN(19)/($E$8-$D$8))*('Panel Dataset'!F18-$D$8))),1/(1+EXP(-(LN(19)/($D$8-$C$8))*('Panel Dataset'!F18-$D$8))))</f>
        <v>0.64095934478803573</v>
      </c>
      <c r="H33" s="12">
        <f>IF('Panel Dataset'!G18&gt;=$D$9,1/(1+EXP(-(LN(19)/($E$9-$D$9))*('Panel Dataset'!G18-$D$9))),1/(1+EXP(-(LN(19)/($D$9-$C$9))*('Panel Dataset'!G18-$D$9))))</f>
        <v>0.3296581771189096</v>
      </c>
      <c r="I33" s="12">
        <f>IF('Panel Dataset'!H18&gt;=$D$10,1/(1+EXP(-(LN(19)/($E$10-$D$10))*('Panel Dataset'!H18-$D$10))),1/(1+EXP(-(LN(19)/($D$10-$C$10))*('Panel Dataset'!H18-$D$10))))</f>
        <v>0.59619053247609932</v>
      </c>
      <c r="J33" s="12">
        <f>IF('Panel Dataset'!I18&gt;=$D$11,1/(1+EXP(-(LN(19)/($E$11-$D$11))*('Panel Dataset'!I18-$D$11))),1/(1+EXP(-(LN(19)/($D$11-$C$11))*('Panel Dataset'!I18-$D$11))))</f>
        <v>0.91323620025228358</v>
      </c>
    </row>
    <row r="34" spans="2:10" x14ac:dyDescent="0.3">
      <c r="B34" s="7" t="str">
        <f>'Panel Dataset'!A19</f>
        <v>Advanced Micro Devices</v>
      </c>
      <c r="C34" s="7">
        <f>'Panel Dataset'!B19</f>
        <v>2022</v>
      </c>
      <c r="D34" s="12">
        <f>IF('Panel Dataset'!C19&gt;=$D$5,1/(1+EXP(-(LN(19)/($E$5-$D$5))*('Panel Dataset'!C19-$D$5))),1/(1+EXP(-(LN(19)/($D$5-$C$5))*('Panel Dataset'!C19-$D$5))))</f>
        <v>0.68214258371404535</v>
      </c>
      <c r="E34" s="12">
        <f>IF('Panel Dataset'!D19&gt;=$D$6,1/(1+EXP(-(LN(19)/($E$6-$D$6))*('Panel Dataset'!D19-$D$6))),1/(1+EXP(-(LN(19)/($D$6-$C$6))*('Panel Dataset'!D19-$D$6))))</f>
        <v>0.89016313784420065</v>
      </c>
      <c r="F34" s="12">
        <f>IF('Panel Dataset'!E19&gt;=$D$7,1/(1+EXP(-(LN(19)/($E$7-$D$7))*('Panel Dataset'!E19-$D$7))),1/(1+EXP(-(LN(19)/($D$7-$C$7))*('Panel Dataset'!E19-$D$7))))</f>
        <v>0.36565664420991073</v>
      </c>
      <c r="G34" s="12">
        <f>IF('Panel Dataset'!F19&gt;=$D$8,1/(1+EXP(-(LN(19)/($E$8-$D$8))*('Panel Dataset'!F19-$D$8))),1/(1+EXP(-(LN(19)/($D$8-$C$8))*('Panel Dataset'!F19-$D$8))))</f>
        <v>0.74904620472725147</v>
      </c>
      <c r="H34" s="12">
        <f>IF('Panel Dataset'!G19&gt;=$D$9,1/(1+EXP(-(LN(19)/($E$9-$D$9))*('Panel Dataset'!G19-$D$9))),1/(1+EXP(-(LN(19)/($D$9-$C$9))*('Panel Dataset'!G19-$D$9))))</f>
        <v>0.26850927914912537</v>
      </c>
      <c r="I34" s="12">
        <f>IF('Panel Dataset'!H19&gt;=$D$10,1/(1+EXP(-(LN(19)/($E$10-$D$10))*('Panel Dataset'!H19-$D$10))),1/(1+EXP(-(LN(19)/($D$10-$C$10))*('Panel Dataset'!H19-$D$10))))</f>
        <v>0.74670041551525235</v>
      </c>
      <c r="J34" s="12">
        <f>IF('Panel Dataset'!I19&gt;=$D$11,1/(1+EXP(-(LN(19)/($E$11-$D$11))*('Panel Dataset'!I19-$D$11))),1/(1+EXP(-(LN(19)/($D$11-$C$11))*('Panel Dataset'!I19-$D$11))))</f>
        <v>0.67638373274290498</v>
      </c>
    </row>
    <row r="35" spans="2:10" x14ac:dyDescent="0.3">
      <c r="B35" s="7" t="str">
        <f>'Panel Dataset'!A20</f>
        <v>Advanced Micro Devices</v>
      </c>
      <c r="C35" s="7">
        <f>'Panel Dataset'!B20</f>
        <v>2023</v>
      </c>
      <c r="D35" s="12">
        <f>IF('Panel Dataset'!C20&gt;=$D$5,1/(1+EXP(-(LN(19)/($E$5-$D$5))*('Panel Dataset'!C20-$D$5))),1/(1+EXP(-(LN(19)/($D$5-$C$5))*('Panel Dataset'!C20-$D$5))))</f>
        <v>0.75504885133478816</v>
      </c>
      <c r="E35" s="12">
        <f>IF('Panel Dataset'!D20&gt;=$D$6,1/(1+EXP(-(LN(19)/($E$6-$D$6))*('Panel Dataset'!D20-$D$6))),1/(1+EXP(-(LN(19)/($D$6-$C$6))*('Panel Dataset'!D20-$D$6))))</f>
        <v>0.94523740467757222</v>
      </c>
      <c r="F35" s="12">
        <f>IF('Panel Dataset'!E20&gt;=$D$7,1/(1+EXP(-(LN(19)/($E$7-$D$7))*('Panel Dataset'!E20-$D$7))),1/(1+EXP(-(LN(19)/($D$7-$C$7))*('Panel Dataset'!E20-$D$7))))</f>
        <v>0.58297343143189506</v>
      </c>
      <c r="G35" s="12">
        <f>IF('Panel Dataset'!F20&gt;=$D$8,1/(1+EXP(-(LN(19)/($E$8-$D$8))*('Panel Dataset'!F20-$D$8))),1/(1+EXP(-(LN(19)/($D$8-$C$8))*('Panel Dataset'!F20-$D$8))))</f>
        <v>0.73815876062871166</v>
      </c>
      <c r="H35" s="12">
        <f>IF('Panel Dataset'!G20&gt;=$D$9,1/(1+EXP(-(LN(19)/($E$9-$D$9))*('Panel Dataset'!G20-$D$9))),1/(1+EXP(-(LN(19)/($D$9-$C$9))*('Panel Dataset'!G20-$D$9))))</f>
        <v>0.34751788729817112</v>
      </c>
      <c r="I35" s="12">
        <f>IF('Panel Dataset'!H20&gt;=$D$10,1/(1+EXP(-(LN(19)/($E$10-$D$10))*('Panel Dataset'!H20-$D$10))),1/(1+EXP(-(LN(19)/($D$10-$C$10))*('Panel Dataset'!H20-$D$10))))</f>
        <v>0.81465613268059556</v>
      </c>
      <c r="J35" s="12">
        <f>IF('Panel Dataset'!I20&gt;=$D$11,1/(1+EXP(-(LN(19)/($E$11-$D$11))*('Panel Dataset'!I20-$D$11))),1/(1+EXP(-(LN(19)/($D$11-$C$11))*('Panel Dataset'!I20-$D$11))))</f>
        <v>0.71351073376738994</v>
      </c>
    </row>
    <row r="36" spans="2:10" x14ac:dyDescent="0.3">
      <c r="B36" s="7" t="str">
        <f>'Panel Dataset'!A21</f>
        <v>Advanced Micro Devices</v>
      </c>
      <c r="C36" s="7">
        <f>'Panel Dataset'!B21</f>
        <v>2024</v>
      </c>
      <c r="D36" s="12">
        <f>IF('Panel Dataset'!C21&gt;=$D$5,1/(1+EXP(-(LN(19)/($E$5-$D$5))*('Panel Dataset'!C21-$D$5))),1/(1+EXP(-(LN(19)/($D$5-$C$5))*('Panel Dataset'!C21-$D$5))))</f>
        <v>0.7886415184946004</v>
      </c>
      <c r="E36" s="12">
        <f>IF('Panel Dataset'!D21&gt;=$D$6,1/(1+EXP(-(LN(19)/($E$6-$D$6))*('Panel Dataset'!D21-$D$6))),1/(1+EXP(-(LN(19)/($D$6-$C$6))*('Panel Dataset'!D21-$D$6))))</f>
        <v>0.96081312602361513</v>
      </c>
      <c r="F36" s="12">
        <f>IF('Panel Dataset'!E21&gt;=$D$7,1/(1+EXP(-(LN(19)/($E$7-$D$7))*('Panel Dataset'!E21-$D$7))),1/(1+EXP(-(LN(19)/($D$7-$C$7))*('Panel Dataset'!E21-$D$7))))</f>
        <v>0.75566123457267953</v>
      </c>
      <c r="G36" s="12">
        <f>IF('Panel Dataset'!F21&gt;=$D$8,1/(1+EXP(-(LN(19)/($E$8-$D$8))*('Panel Dataset'!F21-$D$8))),1/(1+EXP(-(LN(19)/($D$8-$C$8))*('Panel Dataset'!F21-$D$8))))</f>
        <v>0.79684204399736647</v>
      </c>
      <c r="H36" s="12">
        <f>IF('Panel Dataset'!G21&gt;=$D$9,1/(1+EXP(-(LN(19)/($E$9-$D$9))*('Panel Dataset'!G21-$D$9))),1/(1+EXP(-(LN(19)/($D$9-$C$9))*('Panel Dataset'!G21-$D$9))))</f>
        <v>0.6570223821080714</v>
      </c>
      <c r="I36" s="12">
        <f>IF('Panel Dataset'!H21&gt;=$D$10,1/(1+EXP(-(LN(19)/($E$10-$D$10))*('Panel Dataset'!H21-$D$10))),1/(1+EXP(-(LN(19)/($D$10-$C$10))*('Panel Dataset'!H21-$D$10))))</f>
        <v>0.78172814562790216</v>
      </c>
      <c r="J36" s="12">
        <f>IF('Panel Dataset'!I21&gt;=$D$11,1/(1+EXP(-(LN(19)/($E$11-$D$11))*('Panel Dataset'!I21-$D$11))),1/(1+EXP(-(LN(19)/($D$11-$C$11))*('Panel Dataset'!I21-$D$11))))</f>
        <v>0.82678814137962231</v>
      </c>
    </row>
    <row r="37" spans="2:10" x14ac:dyDescent="0.3">
      <c r="B37" s="7" t="str">
        <f>'Panel Dataset'!A22</f>
        <v>Analog Devices</v>
      </c>
      <c r="C37" s="7">
        <f>'Panel Dataset'!B22</f>
        <v>2015</v>
      </c>
      <c r="D37" s="12">
        <f>IF('Panel Dataset'!C22&gt;=$D$5,1/(1+EXP(-(LN(19)/($E$5-$D$5))*('Panel Dataset'!C22-$D$5))),1/(1+EXP(-(LN(19)/($D$5-$C$5))*('Panel Dataset'!C22-$D$5))))</f>
        <v>7.9514819181011304E-2</v>
      </c>
      <c r="E37" s="12">
        <f>IF('Panel Dataset'!D22&gt;=$D$6,1/(1+EXP(-(LN(19)/($E$6-$D$6))*('Panel Dataset'!D22-$D$6))),1/(1+EXP(-(LN(19)/($D$6-$C$6))*('Panel Dataset'!D22-$D$6))))</f>
        <v>3.9314611744084488E-2</v>
      </c>
      <c r="F37" s="12">
        <f>IF('Panel Dataset'!E22&gt;=$D$7,1/(1+EXP(-(LN(19)/($E$7-$D$7))*('Panel Dataset'!E22-$D$7))),1/(1+EXP(-(LN(19)/($D$7-$C$7))*('Panel Dataset'!E22-$D$7))))</f>
        <v>2.5940403782395465E-2</v>
      </c>
      <c r="G37" s="12">
        <f>IF('Panel Dataset'!F22&gt;=$D$8,1/(1+EXP(-(LN(19)/($E$8-$D$8))*('Panel Dataset'!F22-$D$8))),1/(1+EXP(-(LN(19)/($D$8-$C$8))*('Panel Dataset'!F22-$D$8))))</f>
        <v>7.3828871543837174E-2</v>
      </c>
      <c r="H37" s="12">
        <f>IF('Panel Dataset'!G22&gt;=$D$9,1/(1+EXP(-(LN(19)/($E$9-$D$9))*('Panel Dataset'!G22-$D$9))),1/(1+EXP(-(LN(19)/($D$9-$C$9))*('Panel Dataset'!G22-$D$9))))</f>
        <v>2.889512648510752E-2</v>
      </c>
      <c r="I37" s="12">
        <f>IF('Panel Dataset'!H22&gt;=$D$10,1/(1+EXP(-(LN(19)/($E$10-$D$10))*('Panel Dataset'!H22-$D$10))),1/(1+EXP(-(LN(19)/($D$10-$C$10))*('Panel Dataset'!H22-$D$10))))</f>
        <v>9.245693954486392E-2</v>
      </c>
      <c r="J37" s="12">
        <f>IF('Panel Dataset'!I22&gt;=$D$11,1/(1+EXP(-(LN(19)/($E$11-$D$11))*('Panel Dataset'!I22-$D$11))),1/(1+EXP(-(LN(19)/($D$11-$C$11))*('Panel Dataset'!I22-$D$11))))</f>
        <v>6.9062491351981281E-2</v>
      </c>
    </row>
    <row r="38" spans="2:10" x14ac:dyDescent="0.3">
      <c r="B38" s="7" t="str">
        <f>'Panel Dataset'!A23</f>
        <v>Analog Devices</v>
      </c>
      <c r="C38" s="7">
        <f>'Panel Dataset'!B23</f>
        <v>2016</v>
      </c>
      <c r="D38" s="12">
        <f>IF('Panel Dataset'!C23&gt;=$D$5,1/(1+EXP(-(LN(19)/($E$5-$D$5))*('Panel Dataset'!C23-$D$5))),1/(1+EXP(-(LN(19)/($D$5-$C$5))*('Panel Dataset'!C23-$D$5))))</f>
        <v>5.0646605067242834E-2</v>
      </c>
      <c r="E38" s="12">
        <f>IF('Panel Dataset'!D23&gt;=$D$6,1/(1+EXP(-(LN(19)/($E$6-$D$6))*('Panel Dataset'!D23-$D$6))),1/(1+EXP(-(LN(19)/($D$6-$C$6))*('Panel Dataset'!D23-$D$6))))</f>
        <v>4.7662587834147591E-2</v>
      </c>
      <c r="F38" s="12">
        <f>IF('Panel Dataset'!E23&gt;=$D$7,1/(1+EXP(-(LN(19)/($E$7-$D$7))*('Panel Dataset'!E23-$D$7))),1/(1+EXP(-(LN(19)/($D$7-$C$7))*('Panel Dataset'!E23-$D$7))))</f>
        <v>6.3109833987936834E-2</v>
      </c>
      <c r="G38" s="12">
        <f>IF('Panel Dataset'!F23&gt;=$D$8,1/(1+EXP(-(LN(19)/($E$8-$D$8))*('Panel Dataset'!F23-$D$8))),1/(1+EXP(-(LN(19)/($D$8-$C$8))*('Panel Dataset'!F23-$D$8))))</f>
        <v>4.777007809043244E-2</v>
      </c>
      <c r="H38" s="12">
        <f>IF('Panel Dataset'!G23&gt;=$D$9,1/(1+EXP(-(LN(19)/($E$9-$D$9))*('Panel Dataset'!G23-$D$9))),1/(1+EXP(-(LN(19)/($D$9-$C$9))*('Panel Dataset'!G23-$D$9))))</f>
        <v>2.8471842308345815E-2</v>
      </c>
      <c r="I38" s="12">
        <f>IF('Panel Dataset'!H23&gt;=$D$10,1/(1+EXP(-(LN(19)/($E$10-$D$10))*('Panel Dataset'!H23-$D$10))),1/(1+EXP(-(LN(19)/($D$10-$C$10))*('Panel Dataset'!H23-$D$10))))</f>
        <v>5.0752941594715162E-2</v>
      </c>
      <c r="J38" s="12">
        <f>IF('Panel Dataset'!I23&gt;=$D$11,1/(1+EXP(-(LN(19)/($E$11-$D$11))*('Panel Dataset'!I23-$D$11))),1/(1+EXP(-(LN(19)/($D$11-$C$11))*('Panel Dataset'!I23-$D$11))))</f>
        <v>7.4242757707244159E-2</v>
      </c>
    </row>
    <row r="39" spans="2:10" x14ac:dyDescent="0.3">
      <c r="B39" s="7" t="str">
        <f>'Panel Dataset'!A24</f>
        <v>Analog Devices</v>
      </c>
      <c r="C39" s="7">
        <f>'Panel Dataset'!B24</f>
        <v>2017</v>
      </c>
      <c r="D39" s="12">
        <f>IF('Panel Dataset'!C24&gt;=$D$5,1/(1+EXP(-(LN(19)/($E$5-$D$5))*('Panel Dataset'!C24-$D$5))),1/(1+EXP(-(LN(19)/($D$5-$C$5))*('Panel Dataset'!C24-$D$5))))</f>
        <v>6.78614845250545E-2</v>
      </c>
      <c r="E39" s="12">
        <f>IF('Panel Dataset'!D24&gt;=$D$6,1/(1+EXP(-(LN(19)/($E$6-$D$6))*('Panel Dataset'!D24-$D$6))),1/(1+EXP(-(LN(19)/($D$6-$C$6))*('Panel Dataset'!D24-$D$6))))</f>
        <v>7.5417352874582649E-2</v>
      </c>
      <c r="F39" s="12">
        <f>IF('Panel Dataset'!E24&gt;=$D$7,1/(1+EXP(-(LN(19)/($E$7-$D$7))*('Panel Dataset'!E24-$D$7))),1/(1+EXP(-(LN(19)/($D$7-$C$7))*('Panel Dataset'!E24-$D$7))))</f>
        <v>0.11727983422873123</v>
      </c>
      <c r="G39" s="12">
        <f>IF('Panel Dataset'!F24&gt;=$D$8,1/(1+EXP(-(LN(19)/($E$8-$D$8))*('Panel Dataset'!F24-$D$8))),1/(1+EXP(-(LN(19)/($D$8-$C$8))*('Panel Dataset'!F24-$D$8))))</f>
        <v>7.4854100571454099E-2</v>
      </c>
      <c r="H39" s="12">
        <f>IF('Panel Dataset'!G24&gt;=$D$9,1/(1+EXP(-(LN(19)/($E$9-$D$9))*('Panel Dataset'!G24-$D$9))),1/(1+EXP(-(LN(19)/($D$9-$C$9))*('Panel Dataset'!G24-$D$9))))</f>
        <v>9.7673495212042744E-2</v>
      </c>
      <c r="I39" s="12">
        <f>IF('Panel Dataset'!H24&gt;=$D$10,1/(1+EXP(-(LN(19)/($E$10-$D$10))*('Panel Dataset'!H24-$D$10))),1/(1+EXP(-(LN(19)/($D$10-$C$10))*('Panel Dataset'!H24-$D$10))))</f>
        <v>5.7542508978237684E-2</v>
      </c>
      <c r="J39" s="12">
        <f>IF('Panel Dataset'!I24&gt;=$D$11,1/(1+EXP(-(LN(19)/($E$11-$D$11))*('Panel Dataset'!I24-$D$11))),1/(1+EXP(-(LN(19)/($D$11-$C$11))*('Panel Dataset'!I24-$D$11))))</f>
        <v>0.4817463455712212</v>
      </c>
    </row>
    <row r="40" spans="2:10" x14ac:dyDescent="0.3">
      <c r="B40" s="7" t="str">
        <f>'Panel Dataset'!A25</f>
        <v>Analog Devices</v>
      </c>
      <c r="C40" s="7">
        <f>'Panel Dataset'!B25</f>
        <v>2018</v>
      </c>
      <c r="D40" s="12">
        <f>IF('Panel Dataset'!C25&gt;=$D$5,1/(1+EXP(-(LN(19)/($E$5-$D$5))*('Panel Dataset'!C25-$D$5))),1/(1+EXP(-(LN(19)/($D$5-$C$5))*('Panel Dataset'!C25-$D$5))))</f>
        <v>7.403013993407126E-2</v>
      </c>
      <c r="E40" s="12">
        <f>IF('Panel Dataset'!D25&gt;=$D$6,1/(1+EXP(-(LN(19)/($E$6-$D$6))*('Panel Dataset'!D25-$D$6))),1/(1+EXP(-(LN(19)/($D$6-$C$6))*('Panel Dataset'!D25-$D$6))))</f>
        <v>9.9907625965058047E-2</v>
      </c>
      <c r="F40" s="12">
        <f>IF('Panel Dataset'!E25&gt;=$D$7,1/(1+EXP(-(LN(19)/($E$7-$D$7))*('Panel Dataset'!E25-$D$7))),1/(1+EXP(-(LN(19)/($D$7-$C$7))*('Panel Dataset'!E25-$D$7))))</f>
        <v>0.14344971989670119</v>
      </c>
      <c r="G40" s="12">
        <f>IF('Panel Dataset'!F25&gt;=$D$8,1/(1+EXP(-(LN(19)/($E$8-$D$8))*('Panel Dataset'!F25-$D$8))),1/(1+EXP(-(LN(19)/($D$8-$C$8))*('Panel Dataset'!F25-$D$8))))</f>
        <v>0.1035780401785856</v>
      </c>
      <c r="H40" s="12">
        <f>IF('Panel Dataset'!G25&gt;=$D$9,1/(1+EXP(-(LN(19)/($E$9-$D$9))*('Panel Dataset'!G25-$D$9))),1/(1+EXP(-(LN(19)/($D$9-$C$9))*('Panel Dataset'!G25-$D$9))))</f>
        <v>5.9055891651171331E-2</v>
      </c>
      <c r="I40" s="12">
        <f>IF('Panel Dataset'!H25&gt;=$D$10,1/(1+EXP(-(LN(19)/($E$10-$D$10))*('Panel Dataset'!H25-$D$10))),1/(1+EXP(-(LN(19)/($D$10-$C$10))*('Panel Dataset'!H25-$D$10))))</f>
        <v>7.6201970489034196E-2</v>
      </c>
      <c r="J40" s="12">
        <f>IF('Panel Dataset'!I25&gt;=$D$11,1/(1+EXP(-(LN(19)/($E$11-$D$11))*('Panel Dataset'!I25-$D$11))),1/(1+EXP(-(LN(19)/($D$11-$C$11))*('Panel Dataset'!I25-$D$11))))</f>
        <v>0.1420067002824128</v>
      </c>
    </row>
    <row r="41" spans="2:10" x14ac:dyDescent="0.3">
      <c r="B41" s="7" t="str">
        <f>'Panel Dataset'!A26</f>
        <v>Analog Devices</v>
      </c>
      <c r="C41" s="7">
        <f>'Panel Dataset'!B26</f>
        <v>2019</v>
      </c>
      <c r="D41" s="12">
        <f>IF('Panel Dataset'!C26&gt;=$D$5,1/(1+EXP(-(LN(19)/($E$5-$D$5))*('Panel Dataset'!C26-$D$5))),1/(1+EXP(-(LN(19)/($D$5-$C$5))*('Panel Dataset'!C26-$D$5))))</f>
        <v>0.13962294485934781</v>
      </c>
      <c r="E41" s="12">
        <f>IF('Panel Dataset'!D26&gt;=$D$6,1/(1+EXP(-(LN(19)/($E$6-$D$6))*('Panel Dataset'!D26-$D$6))),1/(1+EXP(-(LN(19)/($D$6-$C$6))*('Panel Dataset'!D26-$D$6))))</f>
        <v>0.18170717516418866</v>
      </c>
      <c r="F41" s="12">
        <f>IF('Panel Dataset'!E26&gt;=$D$7,1/(1+EXP(-(LN(19)/($E$7-$D$7))*('Panel Dataset'!E26-$D$7))),1/(1+EXP(-(LN(19)/($D$7-$C$7))*('Panel Dataset'!E26-$D$7))))</f>
        <v>0.22448708260753453</v>
      </c>
      <c r="G41" s="12">
        <f>IF('Panel Dataset'!F26&gt;=$D$8,1/(1+EXP(-(LN(19)/($E$8-$D$8))*('Panel Dataset'!F26-$D$8))),1/(1+EXP(-(LN(19)/($D$8-$C$8))*('Panel Dataset'!F26-$D$8))))</f>
        <v>0.18577252190691873</v>
      </c>
      <c r="H41" s="12">
        <f>IF('Panel Dataset'!G26&gt;=$D$9,1/(1+EXP(-(LN(19)/($E$9-$D$9))*('Panel Dataset'!G26-$D$9))),1/(1+EXP(-(LN(19)/($D$9-$C$9))*('Panel Dataset'!G26-$D$9))))</f>
        <v>0.13934648405774946</v>
      </c>
      <c r="I41" s="12">
        <f>IF('Panel Dataset'!H26&gt;=$D$10,1/(1+EXP(-(LN(19)/($E$10-$D$10))*('Panel Dataset'!H26-$D$10))),1/(1+EXP(-(LN(19)/($D$10-$C$10))*('Panel Dataset'!H26-$D$10))))</f>
        <v>8.9426505425836675E-2</v>
      </c>
      <c r="J41" s="12">
        <f>IF('Panel Dataset'!I26&gt;=$D$11,1/(1+EXP(-(LN(19)/($E$11-$D$11))*('Panel Dataset'!I26-$D$11))),1/(1+EXP(-(LN(19)/($D$11-$C$11))*('Panel Dataset'!I26-$D$11))))</f>
        <v>0.30638512422058495</v>
      </c>
    </row>
    <row r="42" spans="2:10" x14ac:dyDescent="0.3">
      <c r="B42" s="7" t="str">
        <f>'Panel Dataset'!A27</f>
        <v>Analog Devices</v>
      </c>
      <c r="C42" s="7">
        <f>'Panel Dataset'!B27</f>
        <v>2020</v>
      </c>
      <c r="D42" s="12">
        <f>IF('Panel Dataset'!C27&gt;=$D$5,1/(1+EXP(-(LN(19)/($E$5-$D$5))*('Panel Dataset'!C27-$D$5))),1/(1+EXP(-(LN(19)/($D$5-$C$5))*('Panel Dataset'!C27-$D$5))))</f>
        <v>0.33326478159478212</v>
      </c>
      <c r="E42" s="12">
        <f>IF('Panel Dataset'!D27&gt;=$D$6,1/(1+EXP(-(LN(19)/($E$6-$D$6))*('Panel Dataset'!D27-$D$6))),1/(1+EXP(-(LN(19)/($D$6-$C$6))*('Panel Dataset'!D27-$D$6))))</f>
        <v>0.28834324746168427</v>
      </c>
      <c r="F42" s="12">
        <f>IF('Panel Dataset'!E27&gt;=$D$7,1/(1+EXP(-(LN(19)/($E$7-$D$7))*('Panel Dataset'!E27-$D$7))),1/(1+EXP(-(LN(19)/($D$7-$C$7))*('Panel Dataset'!E27-$D$7))))</f>
        <v>0.25442356279539219</v>
      </c>
      <c r="G42" s="12">
        <f>IF('Panel Dataset'!F27&gt;=$D$8,1/(1+EXP(-(LN(19)/($E$8-$D$8))*('Panel Dataset'!F27-$D$8))),1/(1+EXP(-(LN(19)/($D$8-$C$8))*('Panel Dataset'!F27-$D$8))))</f>
        <v>0.51699646712992675</v>
      </c>
      <c r="H42" s="12">
        <f>IF('Panel Dataset'!G27&gt;=$D$9,1/(1+EXP(-(LN(19)/($E$9-$D$9))*('Panel Dataset'!G27-$D$9))),1/(1+EXP(-(LN(19)/($D$9-$C$9))*('Panel Dataset'!G27-$D$9))))</f>
        <v>0.40905187845418517</v>
      </c>
      <c r="I42" s="12">
        <f>IF('Panel Dataset'!H27&gt;=$D$10,1/(1+EXP(-(LN(19)/($E$10-$D$10))*('Panel Dataset'!H27-$D$10))),1/(1+EXP(-(LN(19)/($D$10-$C$10))*('Panel Dataset'!H27-$D$10))))</f>
        <v>0.30492823158044979</v>
      </c>
      <c r="J42" s="12">
        <f>IF('Panel Dataset'!I27&gt;=$D$11,1/(1+EXP(-(LN(19)/($E$11-$D$11))*('Panel Dataset'!I27-$D$11))),1/(1+EXP(-(LN(19)/($D$11-$C$11))*('Panel Dataset'!I27-$D$11))))</f>
        <v>0.12922888140165992</v>
      </c>
    </row>
    <row r="43" spans="2:10" x14ac:dyDescent="0.3">
      <c r="B43" s="7" t="str">
        <f>'Panel Dataset'!A28</f>
        <v>Analog Devices</v>
      </c>
      <c r="C43" s="7">
        <f>'Panel Dataset'!B28</f>
        <v>2021</v>
      </c>
      <c r="D43" s="12">
        <f>IF('Panel Dataset'!C28&gt;=$D$5,1/(1+EXP(-(LN(19)/($E$5-$D$5))*('Panel Dataset'!C28-$D$5))),1/(1+EXP(-(LN(19)/($D$5-$C$5))*('Panel Dataset'!C28-$D$5))))</f>
        <v>0.558601183279402</v>
      </c>
      <c r="E43" s="12">
        <f>IF('Panel Dataset'!D28&gt;=$D$6,1/(1+EXP(-(LN(19)/($E$6-$D$6))*('Panel Dataset'!D28-$D$6))),1/(1+EXP(-(LN(19)/($D$6-$C$6))*('Panel Dataset'!D28-$D$6))))</f>
        <v>0.30058084874969843</v>
      </c>
      <c r="F43" s="12">
        <f>IF('Panel Dataset'!E28&gt;=$D$7,1/(1+EXP(-(LN(19)/($E$7-$D$7))*('Panel Dataset'!E28-$D$7))),1/(1+EXP(-(LN(19)/($D$7-$C$7))*('Panel Dataset'!E28-$D$7))))</f>
        <v>0.40183464960422982</v>
      </c>
      <c r="G43" s="12">
        <f>IF('Panel Dataset'!F28&gt;=$D$8,1/(1+EXP(-(LN(19)/($E$8-$D$8))*('Panel Dataset'!F28-$D$8))),1/(1+EXP(-(LN(19)/($D$8-$C$8))*('Panel Dataset'!F28-$D$8))))</f>
        <v>0.70034612319314682</v>
      </c>
      <c r="H43" s="12">
        <f>IF('Panel Dataset'!G28&gt;=$D$9,1/(1+EXP(-(LN(19)/($E$9-$D$9))*('Panel Dataset'!G28-$D$9))),1/(1+EXP(-(LN(19)/($D$9-$C$9))*('Panel Dataset'!G28-$D$9))))</f>
        <v>0.70045440111114987</v>
      </c>
      <c r="I43" s="12">
        <f>IF('Panel Dataset'!H28&gt;=$D$10,1/(1+EXP(-(LN(19)/($E$10-$D$10))*('Panel Dataset'!H28-$D$10))),1/(1+EXP(-(LN(19)/($D$10-$C$10))*('Panel Dataset'!H28-$D$10))))</f>
        <v>0.7488462192110179</v>
      </c>
      <c r="J43" s="12">
        <f>IF('Panel Dataset'!I28&gt;=$D$11,1/(1+EXP(-(LN(19)/($E$11-$D$11))*('Panel Dataset'!I28-$D$11))),1/(1+EXP(-(LN(19)/($D$11-$C$11))*('Panel Dataset'!I28-$D$11))))</f>
        <v>0.36535766133271569</v>
      </c>
    </row>
    <row r="44" spans="2:10" x14ac:dyDescent="0.3">
      <c r="B44" s="7" t="str">
        <f>'Panel Dataset'!A29</f>
        <v>Analog Devices</v>
      </c>
      <c r="C44" s="7">
        <f>'Panel Dataset'!B29</f>
        <v>2022</v>
      </c>
      <c r="D44" s="12">
        <f>IF('Panel Dataset'!C29&gt;=$D$5,1/(1+EXP(-(LN(19)/($E$5-$D$5))*('Panel Dataset'!C29-$D$5))),1/(1+EXP(-(LN(19)/($D$5-$C$5))*('Panel Dataset'!C29-$D$5))))</f>
        <v>0.70026060748054597</v>
      </c>
      <c r="E44" s="12">
        <f>IF('Panel Dataset'!D29&gt;=$D$6,1/(1+EXP(-(LN(19)/($E$6-$D$6))*('Panel Dataset'!D29-$D$6))),1/(1+EXP(-(LN(19)/($D$6-$C$6))*('Panel Dataset'!D29-$D$6))))</f>
        <v>0.50701972603518564</v>
      </c>
      <c r="F44" s="12">
        <f>IF('Panel Dataset'!E29&gt;=$D$7,1/(1+EXP(-(LN(19)/($E$7-$D$7))*('Panel Dataset'!E29-$D$7))),1/(1+EXP(-(LN(19)/($D$7-$C$7))*('Panel Dataset'!E29-$D$7))))</f>
        <v>0.56989370914476623</v>
      </c>
      <c r="G44" s="12">
        <f>IF('Panel Dataset'!F29&gt;=$D$8,1/(1+EXP(-(LN(19)/($E$8-$D$8))*('Panel Dataset'!F29-$D$8))),1/(1+EXP(-(LN(19)/($D$8-$C$8))*('Panel Dataset'!F29-$D$8))))</f>
        <v>0.83272303163270889</v>
      </c>
      <c r="H44" s="12">
        <f>IF('Panel Dataset'!G29&gt;=$D$9,1/(1+EXP(-(LN(19)/($E$9-$D$9))*('Panel Dataset'!G29-$D$9))),1/(1+EXP(-(LN(19)/($D$9-$C$9))*('Panel Dataset'!G29-$D$9))))</f>
        <v>0.50535916834874783</v>
      </c>
      <c r="I44" s="12">
        <f>IF('Panel Dataset'!H29&gt;=$D$10,1/(1+EXP(-(LN(19)/($E$10-$D$10))*('Panel Dataset'!H29-$D$10))),1/(1+EXP(-(LN(19)/($D$10-$C$10))*('Panel Dataset'!H29-$D$10))))</f>
        <v>0.85680446965462953</v>
      </c>
      <c r="J44" s="12">
        <f>IF('Panel Dataset'!I29&gt;=$D$11,1/(1+EXP(-(LN(19)/($E$11-$D$11))*('Panel Dataset'!I29-$D$11))),1/(1+EXP(-(LN(19)/($D$11-$C$11))*('Panel Dataset'!I29-$D$11))))</f>
        <v>0.84133696855030737</v>
      </c>
    </row>
    <row r="45" spans="2:10" x14ac:dyDescent="0.3">
      <c r="B45" s="7" t="str">
        <f>'Panel Dataset'!A30</f>
        <v>Analog Devices</v>
      </c>
      <c r="C45" s="7">
        <f>'Panel Dataset'!B30</f>
        <v>2023</v>
      </c>
      <c r="D45" s="12">
        <f>IF('Panel Dataset'!C30&gt;=$D$5,1/(1+EXP(-(LN(19)/($E$5-$D$5))*('Panel Dataset'!C30-$D$5))),1/(1+EXP(-(LN(19)/($D$5-$C$5))*('Panel Dataset'!C30-$D$5))))</f>
        <v>0.7886415184946004</v>
      </c>
      <c r="E45" s="12">
        <f>IF('Panel Dataset'!D30&gt;=$D$6,1/(1+EXP(-(LN(19)/($E$6-$D$6))*('Panel Dataset'!D30-$D$6))),1/(1+EXP(-(LN(19)/($D$6-$C$6))*('Panel Dataset'!D30-$D$6))))</f>
        <v>0.6025039629219846</v>
      </c>
      <c r="F45" s="12">
        <f>IF('Panel Dataset'!E30&gt;=$D$7,1/(1+EXP(-(LN(19)/($E$7-$D$7))*('Panel Dataset'!E30-$D$7))),1/(1+EXP(-(LN(19)/($D$7-$C$7))*('Panel Dataset'!E30-$D$7))))</f>
        <v>0.68750031507001463</v>
      </c>
      <c r="G45" s="12">
        <f>IF('Panel Dataset'!F30&gt;=$D$8,1/(1+EXP(-(LN(19)/($E$8-$D$8))*('Panel Dataset'!F30-$D$8))),1/(1+EXP(-(LN(19)/($D$8-$C$8))*('Panel Dataset'!F30-$D$8))))</f>
        <v>0.80863509360479535</v>
      </c>
      <c r="H45" s="12">
        <f>IF('Panel Dataset'!G30&gt;=$D$9,1/(1+EXP(-(LN(19)/($E$9-$D$9))*('Panel Dataset'!G30-$D$9))),1/(1+EXP(-(LN(19)/($D$9-$C$9))*('Panel Dataset'!G30-$D$9))))</f>
        <v>0.4802061162038066</v>
      </c>
      <c r="I45" s="12">
        <f>IF('Panel Dataset'!H30&gt;=$D$10,1/(1+EXP(-(LN(19)/($E$10-$D$10))*('Panel Dataset'!H30-$D$10))),1/(1+EXP(-(LN(19)/($D$10-$C$10))*('Panel Dataset'!H30-$D$10))))</f>
        <v>0.88054261194678818</v>
      </c>
      <c r="J45" s="12">
        <f>IF('Panel Dataset'!I30&gt;=$D$11,1/(1+EXP(-(LN(19)/($E$11-$D$11))*('Panel Dataset'!I30-$D$11))),1/(1+EXP(-(LN(19)/($D$11-$C$11))*('Panel Dataset'!I30-$D$11))))</f>
        <v>0.87142547126603831</v>
      </c>
    </row>
    <row r="46" spans="2:10" x14ac:dyDescent="0.3">
      <c r="B46" s="7" t="str">
        <f>'Panel Dataset'!A31</f>
        <v>Analog Devices</v>
      </c>
      <c r="C46" s="7">
        <f>'Panel Dataset'!B31</f>
        <v>2024</v>
      </c>
      <c r="D46" s="12">
        <f>IF('Panel Dataset'!C31&gt;=$D$5,1/(1+EXP(-(LN(19)/($E$5-$D$5))*('Panel Dataset'!C31-$D$5))),1/(1+EXP(-(LN(19)/($D$5-$C$5))*('Panel Dataset'!C31-$D$5))))</f>
        <v>0.87555937244212245</v>
      </c>
      <c r="E46" s="12">
        <f>IF('Panel Dataset'!D31&gt;=$D$6,1/(1+EXP(-(LN(19)/($E$6-$D$6))*('Panel Dataset'!D31-$D$6))),1/(1+EXP(-(LN(19)/($D$6-$C$6))*('Panel Dataset'!D31-$D$6))))</f>
        <v>0.74947918039689276</v>
      </c>
      <c r="F46" s="12">
        <f>IF('Panel Dataset'!E31&gt;=$D$7,1/(1+EXP(-(LN(19)/($E$7-$D$7))*('Panel Dataset'!E31-$D$7))),1/(1+EXP(-(LN(19)/($D$7-$C$7))*('Panel Dataset'!E31-$D$7))))</f>
        <v>0.82982931024420825</v>
      </c>
      <c r="G46" s="12">
        <f>IF('Panel Dataset'!F31&gt;=$D$8,1/(1+EXP(-(LN(19)/($E$8-$D$8))*('Panel Dataset'!F31-$D$8))),1/(1+EXP(-(LN(19)/($D$8-$C$8))*('Panel Dataset'!F31-$D$8))))</f>
        <v>0.88130316547436915</v>
      </c>
      <c r="H46" s="12">
        <f>IF('Panel Dataset'!G31&gt;=$D$9,1/(1+EXP(-(LN(19)/($E$9-$D$9))*('Panel Dataset'!G31-$D$9))),1/(1+EXP(-(LN(19)/($D$9-$C$9))*('Panel Dataset'!G31-$D$9))))</f>
        <v>0.85022426454562039</v>
      </c>
      <c r="I46" s="12">
        <f>IF('Panel Dataset'!H31&gt;=$D$10,1/(1+EXP(-(LN(19)/($E$10-$D$10))*('Panel Dataset'!H31-$D$10))),1/(1+EXP(-(LN(19)/($D$10-$C$10))*('Panel Dataset'!H31-$D$10))))</f>
        <v>0.8770419368940533</v>
      </c>
      <c r="J46" s="12">
        <f>IF('Panel Dataset'!I31&gt;=$D$11,1/(1+EXP(-(LN(19)/($E$11-$D$11))*('Panel Dataset'!I31-$D$11))),1/(1+EXP(-(LN(19)/($D$11-$C$11))*('Panel Dataset'!I31-$D$11))))</f>
        <v>0.95062129658991013</v>
      </c>
    </row>
    <row r="47" spans="2:10" x14ac:dyDescent="0.3">
      <c r="B47" s="7" t="str">
        <f>'Panel Dataset'!A32</f>
        <v>Applied Materials</v>
      </c>
      <c r="C47" s="7">
        <f>'Panel Dataset'!B32</f>
        <v>2015</v>
      </c>
      <c r="D47" s="12">
        <f>IF('Panel Dataset'!C32&gt;=$D$5,1/(1+EXP(-(LN(19)/($E$5-$D$5))*('Panel Dataset'!C32-$D$5))),1/(1+EXP(-(LN(19)/($D$5-$C$5))*('Panel Dataset'!C32-$D$5))))</f>
        <v>5.7944915092286053E-2</v>
      </c>
      <c r="E47" s="12">
        <f>IF('Panel Dataset'!D32&gt;=$D$6,1/(1+EXP(-(LN(19)/($E$6-$D$6))*('Panel Dataset'!D32-$D$6))),1/(1+EXP(-(LN(19)/($D$6-$C$6))*('Panel Dataset'!D32-$D$6))))</f>
        <v>5.1898123432690332E-2</v>
      </c>
      <c r="F47" s="12">
        <f>IF('Panel Dataset'!E32&gt;=$D$7,1/(1+EXP(-(LN(19)/($E$7-$D$7))*('Panel Dataset'!E32-$D$7))),1/(1+EXP(-(LN(19)/($D$7-$C$7))*('Panel Dataset'!E32-$D$7))))</f>
        <v>2.0806830052841046E-2</v>
      </c>
      <c r="G47" s="12">
        <f>IF('Panel Dataset'!F32&gt;=$D$8,1/(1+EXP(-(LN(19)/($E$8-$D$8))*('Panel Dataset'!F32-$D$8))),1/(1+EXP(-(LN(19)/($D$8-$C$8))*('Panel Dataset'!F32-$D$8))))</f>
        <v>7.0179368641982209E-2</v>
      </c>
      <c r="H47" s="12">
        <f>IF('Panel Dataset'!G32&gt;=$D$9,1/(1+EXP(-(LN(19)/($E$9-$D$9))*('Panel Dataset'!G32-$D$9))),1/(1+EXP(-(LN(19)/($D$9-$C$9))*('Panel Dataset'!G32-$D$9))))</f>
        <v>2.3532337822008073E-2</v>
      </c>
      <c r="I47" s="12">
        <f>IF('Panel Dataset'!H32&gt;=$D$10,1/(1+EXP(-(LN(19)/($E$10-$D$10))*('Panel Dataset'!H32-$D$10))),1/(1+EXP(-(LN(19)/($D$10-$C$10))*('Panel Dataset'!H32-$D$10))))</f>
        <v>6.2756200844812968E-2</v>
      </c>
      <c r="J47" s="12">
        <f>IF('Panel Dataset'!I32&gt;=$D$11,1/(1+EXP(-(LN(19)/($E$11-$D$11))*('Panel Dataset'!I32-$D$11))),1/(1+EXP(-(LN(19)/($D$11-$C$11))*('Panel Dataset'!I32-$D$11))))</f>
        <v>2.2451193160267557E-2</v>
      </c>
    </row>
    <row r="48" spans="2:10" x14ac:dyDescent="0.3">
      <c r="B48" s="7" t="str">
        <f>'Panel Dataset'!A33</f>
        <v>Applied Materials</v>
      </c>
      <c r="C48" s="7">
        <f>'Panel Dataset'!B33</f>
        <v>2016</v>
      </c>
      <c r="D48" s="12">
        <f>IF('Panel Dataset'!C33&gt;=$D$5,1/(1+EXP(-(LN(19)/($E$5-$D$5))*('Panel Dataset'!C33-$D$5))),1/(1+EXP(-(LN(19)/($D$5-$C$5))*('Panel Dataset'!C33-$D$5))))</f>
        <v>5.534332474999052E-2</v>
      </c>
      <c r="E48" s="12">
        <f>IF('Panel Dataset'!D33&gt;=$D$6,1/(1+EXP(-(LN(19)/($E$6-$D$6))*('Panel Dataset'!D33-$D$6))),1/(1+EXP(-(LN(19)/($D$6-$C$6))*('Panel Dataset'!D33-$D$6))))</f>
        <v>8.0806487407564589E-2</v>
      </c>
      <c r="F48" s="12">
        <f>IF('Panel Dataset'!E33&gt;=$D$7,1/(1+EXP(-(LN(19)/($E$7-$D$7))*('Panel Dataset'!E33-$D$7))),1/(1+EXP(-(LN(19)/($D$7-$C$7))*('Panel Dataset'!E33-$D$7))))</f>
        <v>8.680509451617123E-2</v>
      </c>
      <c r="G48" s="12">
        <f>IF('Panel Dataset'!F33&gt;=$D$8,1/(1+EXP(-(LN(19)/($E$8-$D$8))*('Panel Dataset'!F33-$D$8))),1/(1+EXP(-(LN(19)/($D$8-$C$8))*('Panel Dataset'!F33-$D$8))))</f>
        <v>8.1099421291163806E-2</v>
      </c>
      <c r="H48" s="12">
        <f>IF('Panel Dataset'!G33&gt;=$D$9,1/(1+EXP(-(LN(19)/($E$9-$D$9))*('Panel Dataset'!G33-$D$9))),1/(1+EXP(-(LN(19)/($D$9-$C$9))*('Panel Dataset'!G33-$D$9))))</f>
        <v>4.7164896924293202E-2</v>
      </c>
      <c r="I48" s="12">
        <f>IF('Panel Dataset'!H33&gt;=$D$10,1/(1+EXP(-(LN(19)/($E$10-$D$10))*('Panel Dataset'!H33-$D$10))),1/(1+EXP(-(LN(19)/($D$10-$C$10))*('Panel Dataset'!H33-$D$10))))</f>
        <v>0.10433111010814097</v>
      </c>
      <c r="J48" s="12">
        <f>IF('Panel Dataset'!I33&gt;=$D$11,1/(1+EXP(-(LN(19)/($E$11-$D$11))*('Panel Dataset'!I33-$D$11))),1/(1+EXP(-(LN(19)/($D$11-$C$11))*('Panel Dataset'!I33-$D$11))))</f>
        <v>0.18260844414833596</v>
      </c>
    </row>
    <row r="49" spans="2:10" x14ac:dyDescent="0.3">
      <c r="B49" s="7" t="str">
        <f>'Panel Dataset'!A34</f>
        <v>Applied Materials</v>
      </c>
      <c r="C49" s="7">
        <f>'Panel Dataset'!B34</f>
        <v>2017</v>
      </c>
      <c r="D49" s="12">
        <f>IF('Panel Dataset'!C34&gt;=$D$5,1/(1+EXP(-(LN(19)/($E$5-$D$5))*('Panel Dataset'!C34-$D$5))),1/(1+EXP(-(LN(19)/($D$5-$C$5))*('Panel Dataset'!C34-$D$5))))</f>
        <v>7.0106628157341519E-2</v>
      </c>
      <c r="E49" s="12">
        <f>IF('Panel Dataset'!D34&gt;=$D$6,1/(1+EXP(-(LN(19)/($E$6-$D$6))*('Panel Dataset'!D34-$D$6))),1/(1+EXP(-(LN(19)/($D$6-$C$6))*('Panel Dataset'!D34-$D$6))))</f>
        <v>0.13533302444177725</v>
      </c>
      <c r="F49" s="12">
        <f>IF('Panel Dataset'!E34&gt;=$D$7,1/(1+EXP(-(LN(19)/($E$7-$D$7))*('Panel Dataset'!E34-$D$7))),1/(1+EXP(-(LN(19)/($D$7-$C$7))*('Panel Dataset'!E34-$D$7))))</f>
        <v>0.13608954184191996</v>
      </c>
      <c r="G49" s="12">
        <f>IF('Panel Dataset'!F34&gt;=$D$8,1/(1+EXP(-(LN(19)/($E$8-$D$8))*('Panel Dataset'!F34-$D$8))),1/(1+EXP(-(LN(19)/($D$8-$C$8))*('Panel Dataset'!F34-$D$8))))</f>
        <v>8.2969236887269995E-2</v>
      </c>
      <c r="H49" s="12">
        <f>IF('Panel Dataset'!G34&gt;=$D$9,1/(1+EXP(-(LN(19)/($E$9-$D$9))*('Panel Dataset'!G34-$D$9))),1/(1+EXP(-(LN(19)/($D$9-$C$9))*('Panel Dataset'!G34-$D$9))))</f>
        <v>5.7698818490089829E-2</v>
      </c>
      <c r="I49" s="12">
        <f>IF('Panel Dataset'!H34&gt;=$D$10,1/(1+EXP(-(LN(19)/($E$10-$D$10))*('Panel Dataset'!H34-$D$10))),1/(1+EXP(-(LN(19)/($D$10-$C$10))*('Panel Dataset'!H34-$D$10))))</f>
        <v>7.9560489397265677E-2</v>
      </c>
      <c r="J49" s="12">
        <f>IF('Panel Dataset'!I34&gt;=$D$11,1/(1+EXP(-(LN(19)/($E$11-$D$11))*('Panel Dataset'!I34-$D$11))),1/(1+EXP(-(LN(19)/($D$11-$C$11))*('Panel Dataset'!I34-$D$11))))</f>
        <v>0.13640597923238895</v>
      </c>
    </row>
    <row r="50" spans="2:10" x14ac:dyDescent="0.3">
      <c r="B50" s="7" t="str">
        <f>'Panel Dataset'!A35</f>
        <v>Applied Materials</v>
      </c>
      <c r="C50" s="7">
        <f>'Panel Dataset'!B35</f>
        <v>2018</v>
      </c>
      <c r="D50" s="12">
        <f>IF('Panel Dataset'!C35&gt;=$D$5,1/(1+EXP(-(LN(19)/($E$5-$D$5))*('Panel Dataset'!C35-$D$5))),1/(1+EXP(-(LN(19)/($D$5-$C$5))*('Panel Dataset'!C35-$D$5))))</f>
        <v>7.611069384451126E-2</v>
      </c>
      <c r="E50" s="12">
        <f>IF('Panel Dataset'!D35&gt;=$D$6,1/(1+EXP(-(LN(19)/($E$6-$D$6))*('Panel Dataset'!D35-$D$6))),1/(1+EXP(-(LN(19)/($D$6-$C$6))*('Panel Dataset'!D35-$D$6))))</f>
        <v>0.19120007125032507</v>
      </c>
      <c r="F50" s="12">
        <f>IF('Panel Dataset'!E35&gt;=$D$7,1/(1+EXP(-(LN(19)/($E$7-$D$7))*('Panel Dataset'!E35-$D$7))),1/(1+EXP(-(LN(19)/($D$7-$C$7))*('Panel Dataset'!E35-$D$7))))</f>
        <v>0.18763009127267849</v>
      </c>
      <c r="G50" s="12">
        <f>IF('Panel Dataset'!F35&gt;=$D$8,1/(1+EXP(-(LN(19)/($E$8-$D$8))*('Panel Dataset'!F35-$D$8))),1/(1+EXP(-(LN(19)/($D$8-$C$8))*('Panel Dataset'!F35-$D$8))))</f>
        <v>0.13097170928557278</v>
      </c>
      <c r="H50" s="12">
        <f>IF('Panel Dataset'!G35&gt;=$D$9,1/(1+EXP(-(LN(19)/($E$9-$D$9))*('Panel Dataset'!G35-$D$9))),1/(1+EXP(-(LN(19)/($D$9-$C$9))*('Panel Dataset'!G35-$D$9))))</f>
        <v>8.3902258288860845E-2</v>
      </c>
      <c r="I50" s="12">
        <f>IF('Panel Dataset'!H35&gt;=$D$10,1/(1+EXP(-(LN(19)/($E$10-$D$10))*('Panel Dataset'!H35-$D$10))),1/(1+EXP(-(LN(19)/($D$10-$C$10))*('Panel Dataset'!H35-$D$10))))</f>
        <v>9.9359785837255174E-2</v>
      </c>
      <c r="J50" s="12">
        <f>IF('Panel Dataset'!I35&gt;=$D$11,1/(1+EXP(-(LN(19)/($E$11-$D$11))*('Panel Dataset'!I35-$D$11))),1/(1+EXP(-(LN(19)/($D$11-$C$11))*('Panel Dataset'!I35-$D$11))))</f>
        <v>0.24368091366832775</v>
      </c>
    </row>
    <row r="51" spans="2:10" x14ac:dyDescent="0.3">
      <c r="B51" s="7" t="str">
        <f>'Panel Dataset'!A36</f>
        <v>Applied Materials</v>
      </c>
      <c r="C51" s="7">
        <f>'Panel Dataset'!B36</f>
        <v>2019</v>
      </c>
      <c r="D51" s="12">
        <f>IF('Panel Dataset'!C36&gt;=$D$5,1/(1+EXP(-(LN(19)/($E$5-$D$5))*('Panel Dataset'!C36-$D$5))),1/(1+EXP(-(LN(19)/($D$5-$C$5))*('Panel Dataset'!C36-$D$5))))</f>
        <v>0.12916938671739275</v>
      </c>
      <c r="E51" s="12">
        <f>IF('Panel Dataset'!D36&gt;=$D$6,1/(1+EXP(-(LN(19)/($E$6-$D$6))*('Panel Dataset'!D36-$D$6))),1/(1+EXP(-(LN(19)/($D$6-$C$6))*('Panel Dataset'!D36-$D$6))))</f>
        <v>0.34009021142169971</v>
      </c>
      <c r="F51" s="12">
        <f>IF('Panel Dataset'!E36&gt;=$D$7,1/(1+EXP(-(LN(19)/($E$7-$D$7))*('Panel Dataset'!E36-$D$7))),1/(1+EXP(-(LN(19)/($D$7-$C$7))*('Panel Dataset'!E36-$D$7))))</f>
        <v>0.20607183042629593</v>
      </c>
      <c r="G51" s="12">
        <f>IF('Panel Dataset'!F36&gt;=$D$8,1/(1+EXP(-(LN(19)/($E$8-$D$8))*('Panel Dataset'!F36-$D$8))),1/(1+EXP(-(LN(19)/($D$8-$C$8))*('Panel Dataset'!F36-$D$8))))</f>
        <v>0.14483630888464091</v>
      </c>
      <c r="H51" s="12">
        <f>IF('Panel Dataset'!G36&gt;=$D$9,1/(1+EXP(-(LN(19)/($E$9-$D$9))*('Panel Dataset'!G36-$D$9))),1/(1+EXP(-(LN(19)/($D$9-$C$9))*('Panel Dataset'!G36-$D$9))))</f>
        <v>0.18674712262570012</v>
      </c>
      <c r="I51" s="12">
        <f>IF('Panel Dataset'!H36&gt;=$D$10,1/(1+EXP(-(LN(19)/($E$10-$D$10))*('Panel Dataset'!H36-$D$10))),1/(1+EXP(-(LN(19)/($D$10-$C$10))*('Panel Dataset'!H36-$D$10))))</f>
        <v>0.12219994968269325</v>
      </c>
      <c r="J51" s="12">
        <f>IF('Panel Dataset'!I36&gt;=$D$11,1/(1+EXP(-(LN(19)/($E$11-$D$11))*('Panel Dataset'!I36-$D$11))),1/(1+EXP(-(LN(19)/($D$11-$C$11))*('Panel Dataset'!I36-$D$11))))</f>
        <v>0.26056985019262341</v>
      </c>
    </row>
    <row r="52" spans="2:10" x14ac:dyDescent="0.3">
      <c r="B52" s="7" t="str">
        <f>'Panel Dataset'!A37</f>
        <v>Applied Materials</v>
      </c>
      <c r="C52" s="7">
        <f>'Panel Dataset'!B37</f>
        <v>2020</v>
      </c>
      <c r="D52" s="12">
        <f>IF('Panel Dataset'!C37&gt;=$D$5,1/(1+EXP(-(LN(19)/($E$5-$D$5))*('Panel Dataset'!C37-$D$5))),1/(1+EXP(-(LN(19)/($D$5-$C$5))*('Panel Dataset'!C37-$D$5))))</f>
        <v>0.30268489435495166</v>
      </c>
      <c r="E52" s="12">
        <f>IF('Panel Dataset'!D37&gt;=$D$6,1/(1+EXP(-(LN(19)/($E$6-$D$6))*('Panel Dataset'!D37-$D$6))),1/(1+EXP(-(LN(19)/($D$6-$C$6))*('Panel Dataset'!D37-$D$6))))</f>
        <v>0.50548583532046598</v>
      </c>
      <c r="F52" s="12">
        <f>IF('Panel Dataset'!E37&gt;=$D$7,1/(1+EXP(-(LN(19)/($E$7-$D$7))*('Panel Dataset'!E37-$D$7))),1/(1+EXP(-(LN(19)/($D$7-$C$7))*('Panel Dataset'!E37-$D$7))))</f>
        <v>0.33305545859143737</v>
      </c>
      <c r="G52" s="12">
        <f>IF('Panel Dataset'!F37&gt;=$D$8,1/(1+EXP(-(LN(19)/($E$8-$D$8))*('Panel Dataset'!F37-$D$8))),1/(1+EXP(-(LN(19)/($D$8-$C$8))*('Panel Dataset'!F37-$D$8))))</f>
        <v>0.34644449295104063</v>
      </c>
      <c r="H52" s="12">
        <f>IF('Panel Dataset'!G37&gt;=$D$9,1/(1+EXP(-(LN(19)/($E$9-$D$9))*('Panel Dataset'!G37-$D$9))),1/(1+EXP(-(LN(19)/($D$9-$C$9))*('Panel Dataset'!G37-$D$9))))</f>
        <v>0.4518582626150458</v>
      </c>
      <c r="I52" s="12">
        <f>IF('Panel Dataset'!H37&gt;=$D$10,1/(1+EXP(-(LN(19)/($E$10-$D$10))*('Panel Dataset'!H37-$D$10))),1/(1+EXP(-(LN(19)/($D$10-$C$10))*('Panel Dataset'!H37-$D$10))))</f>
        <v>0.4562509681770372</v>
      </c>
      <c r="J52" s="12">
        <f>IF('Panel Dataset'!I37&gt;=$D$11,1/(1+EXP(-(LN(19)/($E$11-$D$11))*('Panel Dataset'!I37-$D$11))),1/(1+EXP(-(LN(19)/($D$11-$C$11))*('Panel Dataset'!I37-$D$11))))</f>
        <v>0.32660431771440596</v>
      </c>
    </row>
    <row r="53" spans="2:10" x14ac:dyDescent="0.3">
      <c r="B53" s="7" t="str">
        <f>'Panel Dataset'!A38</f>
        <v>Applied Materials</v>
      </c>
      <c r="C53" s="7">
        <f>'Panel Dataset'!B38</f>
        <v>2021</v>
      </c>
      <c r="D53" s="12">
        <f>IF('Panel Dataset'!C38&gt;=$D$5,1/(1+EXP(-(LN(19)/($E$5-$D$5))*('Panel Dataset'!C38-$D$5))),1/(1+EXP(-(LN(19)/($D$5-$C$5))*('Panel Dataset'!C38-$D$5))))</f>
        <v>0.56781558872552229</v>
      </c>
      <c r="E53" s="12">
        <f>IF('Panel Dataset'!D38&gt;=$D$6,1/(1+EXP(-(LN(19)/($E$6-$D$6))*('Panel Dataset'!D38-$D$6))),1/(1+EXP(-(LN(19)/($D$6-$C$6))*('Panel Dataset'!D38-$D$6))))</f>
        <v>0.59631540523187865</v>
      </c>
      <c r="F53" s="12">
        <f>IF('Panel Dataset'!E38&gt;=$D$7,1/(1+EXP(-(LN(19)/($E$7-$D$7))*('Panel Dataset'!E38-$D$7))),1/(1+EXP(-(LN(19)/($D$7-$C$7))*('Panel Dataset'!E38-$D$7))))</f>
        <v>0.48856008317339444</v>
      </c>
      <c r="G53" s="12">
        <f>IF('Panel Dataset'!F38&gt;=$D$8,1/(1+EXP(-(LN(19)/($E$8-$D$8))*('Panel Dataset'!F38-$D$8))),1/(1+EXP(-(LN(19)/($D$8-$C$8))*('Panel Dataset'!F38-$D$8))))</f>
        <v>0.71523695334116744</v>
      </c>
      <c r="H53" s="12">
        <f>IF('Panel Dataset'!G38&gt;=$D$9,1/(1+EXP(-(LN(19)/($E$9-$D$9))*('Panel Dataset'!G38-$D$9))),1/(1+EXP(-(LN(19)/($D$9-$C$9))*('Panel Dataset'!G38-$D$9))))</f>
        <v>0.50061152283307486</v>
      </c>
      <c r="I53" s="12">
        <f>IF('Panel Dataset'!H38&gt;=$D$10,1/(1+EXP(-(LN(19)/($E$10-$D$10))*('Panel Dataset'!H38-$D$10))),1/(1+EXP(-(LN(19)/($D$10-$C$10))*('Panel Dataset'!H38-$D$10))))</f>
        <v>0.7879186990302588</v>
      </c>
      <c r="J53" s="12">
        <f>IF('Panel Dataset'!I38&gt;=$D$11,1/(1+EXP(-(LN(19)/($E$11-$D$11))*('Panel Dataset'!I38-$D$11))),1/(1+EXP(-(LN(19)/($D$11-$C$11))*('Panel Dataset'!I38-$D$11))))</f>
        <v>0.20830612896271364</v>
      </c>
    </row>
    <row r="54" spans="2:10" x14ac:dyDescent="0.3">
      <c r="B54" s="7" t="str">
        <f>'Panel Dataset'!A39</f>
        <v>Applied Materials</v>
      </c>
      <c r="C54" s="7">
        <f>'Panel Dataset'!B39</f>
        <v>2022</v>
      </c>
      <c r="D54" s="12">
        <f>IF('Panel Dataset'!C39&gt;=$D$5,1/(1+EXP(-(LN(19)/($E$5-$D$5))*('Panel Dataset'!C39-$D$5))),1/(1+EXP(-(LN(19)/($D$5-$C$5))*('Panel Dataset'!C39-$D$5))))</f>
        <v>0.71319822455923221</v>
      </c>
      <c r="E54" s="12">
        <f>IF('Panel Dataset'!D39&gt;=$D$6,1/(1+EXP(-(LN(19)/($E$6-$D$6))*('Panel Dataset'!D39-$D$6))),1/(1+EXP(-(LN(19)/($D$6-$C$6))*('Panel Dataset'!D39-$D$6))))</f>
        <v>0.79967322958170861</v>
      </c>
      <c r="F54" s="12">
        <f>IF('Panel Dataset'!E39&gt;=$D$7,1/(1+EXP(-(LN(19)/($E$7-$D$7))*('Panel Dataset'!E39-$D$7))),1/(1+EXP(-(LN(19)/($D$7-$C$7))*('Panel Dataset'!E39-$D$7))))</f>
        <v>0.56472736763461218</v>
      </c>
      <c r="G54" s="12">
        <f>IF('Panel Dataset'!F39&gt;=$D$8,1/(1+EXP(-(LN(19)/($E$8-$D$8))*('Panel Dataset'!F39-$D$8))),1/(1+EXP(-(LN(19)/($D$8-$C$8))*('Panel Dataset'!F39-$D$8))))</f>
        <v>0.77340159988508383</v>
      </c>
      <c r="H54" s="12">
        <f>IF('Panel Dataset'!G39&gt;=$D$9,1/(1+EXP(-(LN(19)/($E$9-$D$9))*('Panel Dataset'!G39-$D$9))),1/(1+EXP(-(LN(19)/($D$9-$C$9))*('Panel Dataset'!G39-$D$9))))</f>
        <v>0.39444666029893827</v>
      </c>
      <c r="I54" s="12">
        <f>IF('Panel Dataset'!H39&gt;=$D$10,1/(1+EXP(-(LN(19)/($E$10-$D$10))*('Panel Dataset'!H39-$D$10))),1/(1+EXP(-(LN(19)/($D$10-$C$10))*('Panel Dataset'!H39-$D$10))))</f>
        <v>0.85096961745104927</v>
      </c>
      <c r="J54" s="12">
        <f>IF('Panel Dataset'!I39&gt;=$D$11,1/(1+EXP(-(LN(19)/($E$11-$D$11))*('Panel Dataset'!I39-$D$11))),1/(1+EXP(-(LN(19)/($D$11-$C$11))*('Panel Dataset'!I39-$D$11))))</f>
        <v>0.91746114494595732</v>
      </c>
    </row>
    <row r="55" spans="2:10" x14ac:dyDescent="0.3">
      <c r="B55" s="7" t="str">
        <f>'Panel Dataset'!A40</f>
        <v>Applied Materials</v>
      </c>
      <c r="C55" s="7">
        <f>'Panel Dataset'!B40</f>
        <v>2023</v>
      </c>
      <c r="D55" s="12">
        <f>IF('Panel Dataset'!C40&gt;=$D$5,1/(1+EXP(-(LN(19)/($E$5-$D$5))*('Panel Dataset'!C40-$D$5))),1/(1+EXP(-(LN(19)/($D$5-$C$5))*('Panel Dataset'!C40-$D$5))))</f>
        <v>0.82958705874378336</v>
      </c>
      <c r="E55" s="12">
        <f>IF('Panel Dataset'!D40&gt;=$D$6,1/(1+EXP(-(LN(19)/($E$6-$D$6))*('Panel Dataset'!D40-$D$6))),1/(1+EXP(-(LN(19)/($D$6-$C$6))*('Panel Dataset'!D40-$D$6))))</f>
        <v>0.83946603806310827</v>
      </c>
      <c r="F55" s="12">
        <f>IF('Panel Dataset'!E40&gt;=$D$7,1/(1+EXP(-(LN(19)/($E$7-$D$7))*('Panel Dataset'!E40-$D$7))),1/(1+EXP(-(LN(19)/($D$7-$C$7))*('Panel Dataset'!E40-$D$7))))</f>
        <v>0.7712069523079883</v>
      </c>
      <c r="G55" s="12">
        <f>IF('Panel Dataset'!F40&gt;=$D$8,1/(1+EXP(-(LN(19)/($E$8-$D$8))*('Panel Dataset'!F40-$D$8))),1/(1+EXP(-(LN(19)/($D$8-$C$8))*('Panel Dataset'!F40-$D$8))))</f>
        <v>0.83081201462908205</v>
      </c>
      <c r="H55" s="12">
        <f>IF('Panel Dataset'!G40&gt;=$D$9,1/(1+EXP(-(LN(19)/($E$9-$D$9))*('Panel Dataset'!G40-$D$9))),1/(1+EXP(-(LN(19)/($D$9-$C$9))*('Panel Dataset'!G40-$D$9))))</f>
        <v>0.62780472046092928</v>
      </c>
      <c r="I55" s="12">
        <f>IF('Panel Dataset'!H40&gt;=$D$10,1/(1+EXP(-(LN(19)/($E$10-$D$10))*('Panel Dataset'!H40-$D$10))),1/(1+EXP(-(LN(19)/($D$10-$C$10))*('Panel Dataset'!H40-$D$10))))</f>
        <v>0.83351655440259342</v>
      </c>
      <c r="J55" s="12">
        <f>IF('Panel Dataset'!I40&gt;=$D$11,1/(1+EXP(-(LN(19)/($E$11-$D$11))*('Panel Dataset'!I40-$D$11))),1/(1+EXP(-(LN(19)/($D$11-$C$11))*('Panel Dataset'!I40-$D$11))))</f>
        <v>0.79136990925116313</v>
      </c>
    </row>
    <row r="56" spans="2:10" x14ac:dyDescent="0.3">
      <c r="B56" s="7" t="str">
        <f>'Panel Dataset'!A41</f>
        <v>Applied Materials</v>
      </c>
      <c r="C56" s="7">
        <f>'Panel Dataset'!B41</f>
        <v>2024</v>
      </c>
      <c r="D56" s="12">
        <f>IF('Panel Dataset'!C41&gt;=$D$5,1/(1+EXP(-(LN(19)/($E$5-$D$5))*('Panel Dataset'!C41-$D$5))),1/(1+EXP(-(LN(19)/($D$5-$C$5))*('Panel Dataset'!C41-$D$5))))</f>
        <v>0.83890818105969156</v>
      </c>
      <c r="E56" s="12">
        <f>IF('Panel Dataset'!D41&gt;=$D$6,1/(1+EXP(-(LN(19)/($E$6-$D$6))*('Panel Dataset'!D41-$D$6))),1/(1+EXP(-(LN(19)/($D$6-$C$6))*('Panel Dataset'!D41-$D$6))))</f>
        <v>0.92684105899250124</v>
      </c>
      <c r="F56" s="12">
        <f>IF('Panel Dataset'!E41&gt;=$D$7,1/(1+EXP(-(LN(19)/($E$7-$D$7))*('Panel Dataset'!E41-$D$7))),1/(1+EXP(-(LN(19)/($D$7-$C$7))*('Panel Dataset'!E41-$D$7))))</f>
        <v>0.79209402161898923</v>
      </c>
      <c r="G56" s="12">
        <f>IF('Panel Dataset'!F41&gt;=$D$8,1/(1+EXP(-(LN(19)/($E$8-$D$8))*('Panel Dataset'!F41-$D$8))),1/(1+EXP(-(LN(19)/($D$8-$C$8))*('Panel Dataset'!F41-$D$8))))</f>
        <v>0.87546854379760164</v>
      </c>
      <c r="H56" s="12">
        <f>IF('Panel Dataset'!G41&gt;=$D$9,1/(1+EXP(-(LN(19)/($E$9-$D$9))*('Panel Dataset'!G41-$D$9))),1/(1+EXP(-(LN(19)/($D$9-$C$9))*('Panel Dataset'!G41-$D$9))))</f>
        <v>0.79145915610373785</v>
      </c>
      <c r="I56" s="12">
        <f>IF('Panel Dataset'!H41&gt;=$D$10,1/(1+EXP(-(LN(19)/($E$10-$D$10))*('Panel Dataset'!H41-$D$10))),1/(1+EXP(-(LN(19)/($D$10-$C$10))*('Panel Dataset'!H41-$D$10))))</f>
        <v>0.85192895624459963</v>
      </c>
      <c r="J56" s="12">
        <f>IF('Panel Dataset'!I41&gt;=$D$11,1/(1+EXP(-(LN(19)/($E$11-$D$11))*('Panel Dataset'!I41-$D$11))),1/(1+EXP(-(LN(19)/($D$11-$C$11))*('Panel Dataset'!I41-$D$11))))</f>
        <v>0.97259330974860014</v>
      </c>
    </row>
    <row r="57" spans="2:10" x14ac:dyDescent="0.3">
      <c r="B57" s="7" t="str">
        <f>'Panel Dataset'!A42</f>
        <v>Broadcom Inc.</v>
      </c>
      <c r="C57" s="7">
        <f>'Panel Dataset'!B42</f>
        <v>2015</v>
      </c>
      <c r="D57" s="12">
        <f>IF('Panel Dataset'!C42&gt;=$D$5,1/(1+EXP(-(LN(19)/($E$5-$D$5))*('Panel Dataset'!C42-$D$5))),1/(1+EXP(-(LN(19)/($D$5-$C$5))*('Panel Dataset'!C42-$D$5))))</f>
        <v>0.26080106451026513</v>
      </c>
      <c r="E57" s="12">
        <f>IF('Panel Dataset'!D42&gt;=$D$6,1/(1+EXP(-(LN(19)/($E$6-$D$6))*('Panel Dataset'!D42-$D$6))),1/(1+EXP(-(LN(19)/($D$6-$C$6))*('Panel Dataset'!D42-$D$6))))</f>
        <v>2.6633083626553745E-2</v>
      </c>
      <c r="F57" s="12">
        <f>IF('Panel Dataset'!E42&gt;=$D$7,1/(1+EXP(-(LN(19)/($E$7-$D$7))*('Panel Dataset'!E42-$D$7))),1/(1+EXP(-(LN(19)/($D$7-$C$7))*('Panel Dataset'!E42-$D$7))))</f>
        <v>0.24973409768480828</v>
      </c>
      <c r="G57" s="12">
        <f>IF('Panel Dataset'!F42&gt;=$D$8,1/(1+EXP(-(LN(19)/($E$8-$D$8))*('Panel Dataset'!F42-$D$8))),1/(1+EXP(-(LN(19)/($D$8-$C$8))*('Panel Dataset'!F42-$D$8))))</f>
        <v>0.26486640048032323</v>
      </c>
      <c r="H57" s="12">
        <f>IF('Panel Dataset'!G42&gt;=$D$9,1/(1+EXP(-(LN(19)/($E$9-$D$9))*('Panel Dataset'!G42-$D$9))),1/(1+EXP(-(LN(19)/($D$9-$C$9))*('Panel Dataset'!G42-$D$9))))</f>
        <v>0.1545719336135658</v>
      </c>
      <c r="I57" s="12">
        <f>IF('Panel Dataset'!H42&gt;=$D$10,1/(1+EXP(-(LN(19)/($E$10-$D$10))*('Panel Dataset'!H42-$D$10))),1/(1+EXP(-(LN(19)/($D$10-$C$10))*('Panel Dataset'!H42-$D$10))))</f>
        <v>0.23748542786631877</v>
      </c>
      <c r="J57" s="12">
        <f>IF('Panel Dataset'!I42&gt;=$D$11,1/(1+EXP(-(LN(19)/($E$11-$D$11))*('Panel Dataset'!I42-$D$11))),1/(1+EXP(-(LN(19)/($D$11-$C$11))*('Panel Dataset'!I42-$D$11))))</f>
        <v>0.2696766541109995</v>
      </c>
    </row>
    <row r="58" spans="2:10" x14ac:dyDescent="0.3">
      <c r="B58" s="7" t="str">
        <f>'Panel Dataset'!A43</f>
        <v>Broadcom Inc.</v>
      </c>
      <c r="C58" s="7">
        <f>'Panel Dataset'!B43</f>
        <v>2016</v>
      </c>
      <c r="D58" s="12">
        <f>IF('Panel Dataset'!C43&gt;=$D$5,1/(1+EXP(-(LN(19)/($E$5-$D$5))*('Panel Dataset'!C43-$D$5))),1/(1+EXP(-(LN(19)/($D$5-$C$5))*('Panel Dataset'!C43-$D$5))))</f>
        <v>0.26637520571915552</v>
      </c>
      <c r="E58" s="12">
        <f>IF('Panel Dataset'!D43&gt;=$D$6,1/(1+EXP(-(LN(19)/($E$6-$D$6))*('Panel Dataset'!D43-$D$6))),1/(1+EXP(-(LN(19)/($D$6-$C$6))*('Panel Dataset'!D43-$D$6))))</f>
        <v>5.2444324235031377E-2</v>
      </c>
      <c r="F58" s="12">
        <f>IF('Panel Dataset'!E43&gt;=$D$7,1/(1+EXP(-(LN(19)/($E$7-$D$7))*('Panel Dataset'!E43-$D$7))),1/(1+EXP(-(LN(19)/($D$7-$C$7))*('Panel Dataset'!E43-$D$7))))</f>
        <v>0.35594919270636771</v>
      </c>
      <c r="G58" s="12">
        <f>IF('Panel Dataset'!F43&gt;=$D$8,1/(1+EXP(-(LN(19)/($E$8-$D$8))*('Panel Dataset'!F43-$D$8))),1/(1+EXP(-(LN(19)/($D$8-$C$8))*('Panel Dataset'!F43-$D$8))))</f>
        <v>0.20936936040305451</v>
      </c>
      <c r="H58" s="12">
        <f>IF('Panel Dataset'!G43&gt;=$D$9,1/(1+EXP(-(LN(19)/($E$9-$D$9))*('Panel Dataset'!G43-$D$9))),1/(1+EXP(-(LN(19)/($D$9-$C$9))*('Panel Dataset'!G43-$D$9))))</f>
        <v>0.38586140146805586</v>
      </c>
      <c r="I58" s="12">
        <f>IF('Panel Dataset'!H43&gt;=$D$10,1/(1+EXP(-(LN(19)/($E$10-$D$10))*('Panel Dataset'!H43-$D$10))),1/(1+EXP(-(LN(19)/($D$10-$C$10))*('Panel Dataset'!H43-$D$10))))</f>
        <v>0.2630859798141143</v>
      </c>
      <c r="J58" s="12">
        <f>IF('Panel Dataset'!I43&gt;=$D$11,1/(1+EXP(-(LN(19)/($E$11-$D$11))*('Panel Dataset'!I43-$D$11))),1/(1+EXP(-(LN(19)/($D$11-$C$11))*('Panel Dataset'!I43-$D$11))))</f>
        <v>0.33958317884132905</v>
      </c>
    </row>
    <row r="59" spans="2:10" x14ac:dyDescent="0.3">
      <c r="B59" s="7" t="str">
        <f>'Panel Dataset'!A44</f>
        <v>Broadcom Inc.</v>
      </c>
      <c r="C59" s="7">
        <f>'Panel Dataset'!B44</f>
        <v>2017</v>
      </c>
      <c r="D59" s="12">
        <f>IF('Panel Dataset'!C44&gt;=$D$5,1/(1+EXP(-(LN(19)/($E$5-$D$5))*('Panel Dataset'!C44-$D$5))),1/(1+EXP(-(LN(19)/($D$5-$C$5))*('Panel Dataset'!C44-$D$5))))</f>
        <v>0.32773940595644191</v>
      </c>
      <c r="E59" s="12">
        <f>IF('Panel Dataset'!D44&gt;=$D$6,1/(1+EXP(-(LN(19)/($E$6-$D$6))*('Panel Dataset'!D44-$D$6))),1/(1+EXP(-(LN(19)/($D$6-$C$6))*('Panel Dataset'!D44-$D$6))))</f>
        <v>9.2134675431622431E-2</v>
      </c>
      <c r="F59" s="12">
        <f>IF('Panel Dataset'!E44&gt;=$D$7,1/(1+EXP(-(LN(19)/($E$7-$D$7))*('Panel Dataset'!E44-$D$7))),1/(1+EXP(-(LN(19)/($D$7-$C$7))*('Panel Dataset'!E44-$D$7))))</f>
        <v>0.48760394526281553</v>
      </c>
      <c r="G59" s="12">
        <f>IF('Panel Dataset'!F44&gt;=$D$8,1/(1+EXP(-(LN(19)/($E$8-$D$8))*('Panel Dataset'!F44-$D$8))),1/(1+EXP(-(LN(19)/($D$8-$C$8))*('Panel Dataset'!F44-$D$8))))</f>
        <v>0.24323048557709528</v>
      </c>
      <c r="H59" s="12">
        <f>IF('Panel Dataset'!G44&gt;=$D$9,1/(1+EXP(-(LN(19)/($E$9-$D$9))*('Panel Dataset'!G44-$D$9))),1/(1+EXP(-(LN(19)/($D$9-$C$9))*('Panel Dataset'!G44-$D$9))))</f>
        <v>0.46978734696784846</v>
      </c>
      <c r="I59" s="12">
        <f>IF('Panel Dataset'!H44&gt;=$D$10,1/(1+EXP(-(LN(19)/($E$10-$D$10))*('Panel Dataset'!H44-$D$10))),1/(1+EXP(-(LN(19)/($D$10-$C$10))*('Panel Dataset'!H44-$D$10))))</f>
        <v>0.26333113047742235</v>
      </c>
      <c r="J59" s="12">
        <f>IF('Panel Dataset'!I44&gt;=$D$11,1/(1+EXP(-(LN(19)/($E$11-$D$11))*('Panel Dataset'!I44-$D$11))),1/(1+EXP(-(LN(19)/($D$11-$C$11))*('Panel Dataset'!I44-$D$11))))</f>
        <v>0.41158585635481387</v>
      </c>
    </row>
    <row r="60" spans="2:10" x14ac:dyDescent="0.3">
      <c r="B60" s="7" t="str">
        <f>'Panel Dataset'!A45</f>
        <v>Broadcom Inc.</v>
      </c>
      <c r="C60" s="7">
        <f>'Panel Dataset'!B45</f>
        <v>2018</v>
      </c>
      <c r="D60" s="12">
        <f>IF('Panel Dataset'!C45&gt;=$D$5,1/(1+EXP(-(LN(19)/($E$5-$D$5))*('Panel Dataset'!C45-$D$5))),1/(1+EXP(-(LN(19)/($D$5-$C$5))*('Panel Dataset'!C45-$D$5))))</f>
        <v>0.38699259888558168</v>
      </c>
      <c r="E60" s="12">
        <f>IF('Panel Dataset'!D45&gt;=$D$6,1/(1+EXP(-(LN(19)/($E$6-$D$6))*('Panel Dataset'!D45-$D$6))),1/(1+EXP(-(LN(19)/($D$6-$C$6))*('Panel Dataset'!D45-$D$6))))</f>
        <v>0.12545632637352927</v>
      </c>
      <c r="F60" s="12">
        <f>IF('Panel Dataset'!E45&gt;=$D$7,1/(1+EXP(-(LN(19)/($E$7-$D$7))*('Panel Dataset'!E45-$D$7))),1/(1+EXP(-(LN(19)/($D$7-$C$7))*('Panel Dataset'!E45-$D$7))))</f>
        <v>0.62010033623825767</v>
      </c>
      <c r="G60" s="12">
        <f>IF('Panel Dataset'!F45&gt;=$D$8,1/(1+EXP(-(LN(19)/($E$8-$D$8))*('Panel Dataset'!F45-$D$8))),1/(1+EXP(-(LN(19)/($D$8-$C$8))*('Panel Dataset'!F45-$D$8))))</f>
        <v>0.41449256162213793</v>
      </c>
      <c r="H60" s="12">
        <f>IF('Panel Dataset'!G45&gt;=$D$9,1/(1+EXP(-(LN(19)/($E$9-$D$9))*('Panel Dataset'!G45-$D$9))),1/(1+EXP(-(LN(19)/($D$9-$C$9))*('Panel Dataset'!G45-$D$9))))</f>
        <v>0.68386644272615971</v>
      </c>
      <c r="I60" s="12">
        <f>IF('Panel Dataset'!H45&gt;=$D$10,1/(1+EXP(-(LN(19)/($E$10-$D$10))*('Panel Dataset'!H45-$D$10))),1/(1+EXP(-(LN(19)/($D$10-$C$10))*('Panel Dataset'!H45-$D$10))))</f>
        <v>0.3035902528086184</v>
      </c>
      <c r="J60" s="12">
        <f>IF('Panel Dataset'!I45&gt;=$D$11,1/(1+EXP(-(LN(19)/($E$11-$D$11))*('Panel Dataset'!I45-$D$11))),1/(1+EXP(-(LN(19)/($D$11-$C$11))*('Panel Dataset'!I45-$D$11))))</f>
        <v>0.78813591223976776</v>
      </c>
    </row>
    <row r="61" spans="2:10" x14ac:dyDescent="0.3">
      <c r="B61" s="7" t="str">
        <f>'Panel Dataset'!A46</f>
        <v>Broadcom Inc.</v>
      </c>
      <c r="C61" s="7">
        <f>'Panel Dataset'!B46</f>
        <v>2019</v>
      </c>
      <c r="D61" s="12">
        <f>IF('Panel Dataset'!C46&gt;=$D$5,1/(1+EXP(-(LN(19)/($E$5-$D$5))*('Panel Dataset'!C46-$D$5))),1/(1+EXP(-(LN(19)/($D$5-$C$5))*('Panel Dataset'!C46-$D$5))))</f>
        <v>0.60802198944929997</v>
      </c>
      <c r="E61" s="12">
        <f>IF('Panel Dataset'!D46&gt;=$D$6,1/(1+EXP(-(LN(19)/($E$6-$D$6))*('Panel Dataset'!D46-$D$6))),1/(1+EXP(-(LN(19)/($D$6-$C$6))*('Panel Dataset'!D46-$D$6))))</f>
        <v>0.19618338953277117</v>
      </c>
      <c r="F61" s="12">
        <f>IF('Panel Dataset'!E46&gt;=$D$7,1/(1+EXP(-(LN(19)/($E$7-$D$7))*('Panel Dataset'!E46-$D$7))),1/(1+EXP(-(LN(19)/($D$7-$C$7))*('Panel Dataset'!E46-$D$7))))</f>
        <v>0.59270819788980134</v>
      </c>
      <c r="G61" s="12">
        <f>IF('Panel Dataset'!F46&gt;=$D$8,1/(1+EXP(-(LN(19)/($E$8-$D$8))*('Panel Dataset'!F46-$D$8))),1/(1+EXP(-(LN(19)/($D$8-$C$8))*('Panel Dataset'!F46-$D$8))))</f>
        <v>0.4199262938225386</v>
      </c>
      <c r="H61" s="12">
        <f>IF('Panel Dataset'!G46&gt;=$D$9,1/(1+EXP(-(LN(19)/($E$9-$D$9))*('Panel Dataset'!G46-$D$9))),1/(1+EXP(-(LN(19)/($D$9-$C$9))*('Panel Dataset'!G46-$D$9))))</f>
        <v>0.62201781749842189</v>
      </c>
      <c r="I61" s="12">
        <f>IF('Panel Dataset'!H46&gt;=$D$10,1/(1+EXP(-(LN(19)/($E$10-$D$10))*('Panel Dataset'!H46-$D$10))),1/(1+EXP(-(LN(19)/($D$10-$C$10))*('Panel Dataset'!H46-$D$10))))</f>
        <v>0.42448586550181133</v>
      </c>
      <c r="J61" s="12">
        <f>IF('Panel Dataset'!I46&gt;=$D$11,1/(1+EXP(-(LN(19)/($E$11-$D$11))*('Panel Dataset'!I46-$D$11))),1/(1+EXP(-(LN(19)/($D$11-$C$11))*('Panel Dataset'!I46-$D$11))))</f>
        <v>0.37534940440218056</v>
      </c>
    </row>
    <row r="62" spans="2:10" x14ac:dyDescent="0.3">
      <c r="B62" s="7" t="str">
        <f>'Panel Dataset'!A47</f>
        <v>Broadcom Inc.</v>
      </c>
      <c r="C62" s="7">
        <f>'Panel Dataset'!B47</f>
        <v>2020</v>
      </c>
      <c r="D62" s="12">
        <f>IF('Panel Dataset'!C47&gt;=$D$5,1/(1+EXP(-(LN(19)/($E$5-$D$5))*('Panel Dataset'!C47-$D$5))),1/(1+EXP(-(LN(19)/($D$5-$C$5))*('Panel Dataset'!C47-$D$5))))</f>
        <v>0.77890930058439389</v>
      </c>
      <c r="E62" s="12">
        <f>IF('Panel Dataset'!D47&gt;=$D$6,1/(1+EXP(-(LN(19)/($E$6-$D$6))*('Panel Dataset'!D47-$D$6))),1/(1+EXP(-(LN(19)/($D$6-$C$6))*('Panel Dataset'!D47-$D$6))))</f>
        <v>0.41280443973278963</v>
      </c>
      <c r="F62" s="12">
        <f>IF('Panel Dataset'!E47&gt;=$D$7,1/(1+EXP(-(LN(19)/($E$7-$D$7))*('Panel Dataset'!E47-$D$7))),1/(1+EXP(-(LN(19)/($D$7-$C$7))*('Panel Dataset'!E47-$D$7))))</f>
        <v>0.83278081411037552</v>
      </c>
      <c r="G62" s="12">
        <f>IF('Panel Dataset'!F47&gt;=$D$8,1/(1+EXP(-(LN(19)/($E$8-$D$8))*('Panel Dataset'!F47-$D$8))),1/(1+EXP(-(LN(19)/($D$8-$C$8))*('Panel Dataset'!F47-$D$8))))</f>
        <v>0.66872936842775177</v>
      </c>
      <c r="H62" s="12">
        <f>IF('Panel Dataset'!G47&gt;=$D$9,1/(1+EXP(-(LN(19)/($E$9-$D$9))*('Panel Dataset'!G47-$D$9))),1/(1+EXP(-(LN(19)/($D$9-$C$9))*('Panel Dataset'!G47-$D$9))))</f>
        <v>0.93831325816278444</v>
      </c>
      <c r="I62" s="12">
        <f>IF('Panel Dataset'!H47&gt;=$D$10,1/(1+EXP(-(LN(19)/($E$10-$D$10))*('Panel Dataset'!H47-$D$10))),1/(1+EXP(-(LN(19)/($D$10-$C$10))*('Panel Dataset'!H47-$D$10))))</f>
        <v>0.61401012204638561</v>
      </c>
      <c r="J62" s="12">
        <f>IF('Panel Dataset'!I47&gt;=$D$11,1/(1+EXP(-(LN(19)/($E$11-$D$11))*('Panel Dataset'!I47-$D$11))),1/(1+EXP(-(LN(19)/($D$11-$C$11))*('Panel Dataset'!I47-$D$11))))</f>
        <v>0.13232846158886866</v>
      </c>
    </row>
    <row r="63" spans="2:10" x14ac:dyDescent="0.3">
      <c r="B63" s="7" t="str">
        <f>'Panel Dataset'!A48</f>
        <v>Broadcom Inc.</v>
      </c>
      <c r="C63" s="7">
        <f>'Panel Dataset'!B48</f>
        <v>2021</v>
      </c>
      <c r="D63" s="12">
        <f>IF('Panel Dataset'!C48&gt;=$D$5,1/(1+EXP(-(LN(19)/($E$5-$D$5))*('Panel Dataset'!C48-$D$5))),1/(1+EXP(-(LN(19)/($D$5-$C$5))*('Panel Dataset'!C48-$D$5))))</f>
        <v>0.90830770444848397</v>
      </c>
      <c r="E63" s="12">
        <f>IF('Panel Dataset'!D48&gt;=$D$6,1/(1+EXP(-(LN(19)/($E$6-$D$6))*('Panel Dataset'!D48-$D$6))),1/(1+EXP(-(LN(19)/($D$6-$C$6))*('Panel Dataset'!D48-$D$6))))</f>
        <v>0.49720177273798882</v>
      </c>
      <c r="F63" s="12">
        <f>IF('Panel Dataset'!E48&gt;=$D$7,1/(1+EXP(-(LN(19)/($E$7-$D$7))*('Panel Dataset'!E48-$D$7))),1/(1+EXP(-(LN(19)/($D$7-$C$7))*('Panel Dataset'!E48-$D$7))))</f>
        <v>0.83752208924144511</v>
      </c>
      <c r="G63" s="12">
        <f>IF('Panel Dataset'!F48&gt;=$D$8,1/(1+EXP(-(LN(19)/($E$8-$D$8))*('Panel Dataset'!F48-$D$8))),1/(1+EXP(-(LN(19)/($D$8-$C$8))*('Panel Dataset'!F48-$D$8))))</f>
        <v>0.8720449727021734</v>
      </c>
      <c r="H63" s="12">
        <f>IF('Panel Dataset'!G48&gt;=$D$9,1/(1+EXP(-(LN(19)/($E$9-$D$9))*('Panel Dataset'!G48-$D$9))),1/(1+EXP(-(LN(19)/($D$9-$C$9))*('Panel Dataset'!G48-$D$9))))</f>
        <v>0.95641791873084392</v>
      </c>
      <c r="I63" s="12">
        <f>IF('Panel Dataset'!H48&gt;=$D$10,1/(1+EXP(-(LN(19)/($E$10-$D$10))*('Panel Dataset'!H48-$D$10))),1/(1+EXP(-(LN(19)/($D$10-$C$10))*('Panel Dataset'!H48-$D$10))))</f>
        <v>0.88879411562179411</v>
      </c>
      <c r="J63" s="12">
        <f>IF('Panel Dataset'!I48&gt;=$D$11,1/(1+EXP(-(LN(19)/($E$11-$D$11))*('Panel Dataset'!I48-$D$11))),1/(1+EXP(-(LN(19)/($D$11-$C$11))*('Panel Dataset'!I48-$D$11))))</f>
        <v>0.56511799221947723</v>
      </c>
    </row>
    <row r="64" spans="2:10" x14ac:dyDescent="0.3">
      <c r="B64" s="7" t="str">
        <f>'Panel Dataset'!A49</f>
        <v>Broadcom Inc.</v>
      </c>
      <c r="C64" s="7">
        <f>'Panel Dataset'!B49</f>
        <v>2022</v>
      </c>
      <c r="D64" s="12">
        <f>IF('Panel Dataset'!C49&gt;=$D$5,1/(1+EXP(-(LN(19)/($E$5-$D$5))*('Panel Dataset'!C49-$D$5))),1/(1+EXP(-(LN(19)/($D$5-$C$5))*('Panel Dataset'!C49-$D$5))))</f>
        <v>0.95362736417591698</v>
      </c>
      <c r="E64" s="12">
        <f>IF('Panel Dataset'!D49&gt;=$D$6,1/(1+EXP(-(LN(19)/($E$6-$D$6))*('Panel Dataset'!D49-$D$6))),1/(1+EXP(-(LN(19)/($D$6-$C$6))*('Panel Dataset'!D49-$D$6))))</f>
        <v>0.71884535790542625</v>
      </c>
      <c r="F64" s="12">
        <f>IF('Panel Dataset'!E49&gt;=$D$7,1/(1+EXP(-(LN(19)/($E$7-$D$7))*('Panel Dataset'!E49-$D$7))),1/(1+EXP(-(LN(19)/($D$7-$C$7))*('Panel Dataset'!E49-$D$7))))</f>
        <v>0.93519032320477502</v>
      </c>
      <c r="G64" s="12">
        <f>IF('Panel Dataset'!F49&gt;=$D$8,1/(1+EXP(-(LN(19)/($E$8-$D$8))*('Panel Dataset'!F49-$D$8))),1/(1+EXP(-(LN(19)/($D$8-$C$8))*('Panel Dataset'!F49-$D$8))))</f>
        <v>0.92510806010611213</v>
      </c>
      <c r="H64" s="12">
        <f>IF('Panel Dataset'!G49&gt;=$D$9,1/(1+EXP(-(LN(19)/($E$9-$D$9))*('Panel Dataset'!G49-$D$9))),1/(1+EXP(-(LN(19)/($D$9-$C$9))*('Panel Dataset'!G49-$D$9))))</f>
        <v>0.91820108256753752</v>
      </c>
      <c r="I64" s="12">
        <f>IF('Panel Dataset'!H49&gt;=$D$10,1/(1+EXP(-(LN(19)/($E$10-$D$10))*('Panel Dataset'!H49-$D$10))),1/(1+EXP(-(LN(19)/($D$10-$C$10))*('Panel Dataset'!H49-$D$10))))</f>
        <v>0.93874534789222064</v>
      </c>
      <c r="J64" s="12">
        <f>IF('Panel Dataset'!I49&gt;=$D$11,1/(1+EXP(-(LN(19)/($E$11-$D$11))*('Panel Dataset'!I49-$D$11))),1/(1+EXP(-(LN(19)/($D$11-$C$11))*('Panel Dataset'!I49-$D$11))))</f>
        <v>0.94422545528516011</v>
      </c>
    </row>
    <row r="65" spans="2:10" x14ac:dyDescent="0.3">
      <c r="B65" s="7" t="str">
        <f>'Panel Dataset'!A50</f>
        <v>Broadcom Inc.</v>
      </c>
      <c r="C65" s="7">
        <f>'Panel Dataset'!B50</f>
        <v>2023</v>
      </c>
      <c r="D65" s="12">
        <f>IF('Panel Dataset'!C50&gt;=$D$5,1/(1+EXP(-(LN(19)/($E$5-$D$5))*('Panel Dataset'!C50-$D$5))),1/(1+EXP(-(LN(19)/($D$5-$C$5))*('Panel Dataset'!C50-$D$5))))</f>
        <v>0.96756799438963403</v>
      </c>
      <c r="E65" s="12">
        <f>IF('Panel Dataset'!D50&gt;=$D$6,1/(1+EXP(-(LN(19)/($E$6-$D$6))*('Panel Dataset'!D50-$D$6))),1/(1+EXP(-(LN(19)/($D$6-$C$6))*('Panel Dataset'!D50-$D$6))))</f>
        <v>0.68338530047144241</v>
      </c>
      <c r="F65" s="12">
        <f>IF('Panel Dataset'!E50&gt;=$D$7,1/(1+EXP(-(LN(19)/($E$7-$D$7))*('Panel Dataset'!E50-$D$7))),1/(1+EXP(-(LN(19)/($D$7-$C$7))*('Panel Dataset'!E50-$D$7))))</f>
        <v>0.96051858854895988</v>
      </c>
      <c r="G65" s="12">
        <f>IF('Panel Dataset'!F50&gt;=$D$8,1/(1+EXP(-(LN(19)/($E$8-$D$8))*('Panel Dataset'!F50-$D$8))),1/(1+EXP(-(LN(19)/($D$8-$C$8))*('Panel Dataset'!F50-$D$8))))</f>
        <v>0.94494920421849182</v>
      </c>
      <c r="H65" s="12">
        <f>IF('Panel Dataset'!G50&gt;=$D$9,1/(1+EXP(-(LN(19)/($E$9-$D$9))*('Panel Dataset'!G50-$D$9))),1/(1+EXP(-(LN(19)/($D$9-$C$9))*('Panel Dataset'!G50-$D$9))))</f>
        <v>0.96057006380955767</v>
      </c>
      <c r="I65" s="12">
        <f>IF('Panel Dataset'!H50&gt;=$D$10,1/(1+EXP(-(LN(19)/($E$10-$D$10))*('Panel Dataset'!H50-$D$10))),1/(1+EXP(-(LN(19)/($D$10-$C$10))*('Panel Dataset'!H50-$D$10))))</f>
        <v>0.9617192576483562</v>
      </c>
      <c r="J65" s="12">
        <f>IF('Panel Dataset'!I50&gt;=$D$11,1/(1+EXP(-(LN(19)/($E$11-$D$11))*('Panel Dataset'!I50-$D$11))),1/(1+EXP(-(LN(19)/($D$11-$C$11))*('Panel Dataset'!I50-$D$11))))</f>
        <v>0.82510815737578425</v>
      </c>
    </row>
    <row r="66" spans="2:10" x14ac:dyDescent="0.3">
      <c r="B66" s="7" t="str">
        <f>'Panel Dataset'!A51</f>
        <v>Broadcom Inc.</v>
      </c>
      <c r="C66" s="7">
        <f>'Panel Dataset'!B51</f>
        <v>2024</v>
      </c>
      <c r="D66" s="12">
        <f>IF('Panel Dataset'!C51&gt;=$D$5,1/(1+EXP(-(LN(19)/($E$5-$D$5))*('Panel Dataset'!C51-$D$5))),1/(1+EXP(-(LN(19)/($D$5-$C$5))*('Panel Dataset'!C51-$D$5))))</f>
        <v>0.972957396359444</v>
      </c>
      <c r="E66" s="12">
        <f>IF('Panel Dataset'!D51&gt;=$D$6,1/(1+EXP(-(LN(19)/($E$6-$D$6))*('Panel Dataset'!D51-$D$6))),1/(1+EXP(-(LN(19)/($D$6-$C$6))*('Panel Dataset'!D51-$D$6))))</f>
        <v>0.81308241512168866</v>
      </c>
      <c r="F66" s="12">
        <f>IF('Panel Dataset'!E51&gt;=$D$7,1/(1+EXP(-(LN(19)/($E$7-$D$7))*('Panel Dataset'!E51-$D$7))),1/(1+EXP(-(LN(19)/($D$7-$C$7))*('Panel Dataset'!E51-$D$7))))</f>
        <v>0.97454629015948435</v>
      </c>
      <c r="G66" s="12">
        <f>IF('Panel Dataset'!F51&gt;=$D$8,1/(1+EXP(-(LN(19)/($E$8-$D$8))*('Panel Dataset'!F51-$D$8))),1/(1+EXP(-(LN(19)/($D$8-$C$8))*('Panel Dataset'!F51-$D$8))))</f>
        <v>0.95203526977665631</v>
      </c>
      <c r="H66" s="12">
        <f>IF('Panel Dataset'!G51&gt;=$D$9,1/(1+EXP(-(LN(19)/($E$9-$D$9))*('Panel Dataset'!G51-$D$9))),1/(1+EXP(-(LN(19)/($D$9-$C$9))*('Panel Dataset'!G51-$D$9))))</f>
        <v>0.96881364261283331</v>
      </c>
      <c r="I66" s="12">
        <f>IF('Panel Dataset'!H51&gt;=$D$10,1/(1+EXP(-(LN(19)/($E$10-$D$10))*('Panel Dataset'!H51-$D$10))),1/(1+EXP(-(LN(19)/($D$10-$C$10))*('Panel Dataset'!H51-$D$10))))</f>
        <v>0.96493280209490995</v>
      </c>
      <c r="J66" s="12">
        <f>IF('Panel Dataset'!I51&gt;=$D$11,1/(1+EXP(-(LN(19)/($E$11-$D$11))*('Panel Dataset'!I51-$D$11))),1/(1+EXP(-(LN(19)/($D$11-$C$11))*('Panel Dataset'!I51-$D$11))))</f>
        <v>0.97792998782877405</v>
      </c>
    </row>
    <row r="67" spans="2:10" x14ac:dyDescent="0.3">
      <c r="B67" s="7" t="str">
        <f>'Panel Dataset'!A52</f>
        <v>Infineon Technologies</v>
      </c>
      <c r="C67" s="7">
        <f>'Panel Dataset'!B52</f>
        <v>2015</v>
      </c>
      <c r="D67" s="12">
        <f>IF('Panel Dataset'!C52&gt;=$D$5,1/(1+EXP(-(LN(19)/($E$5-$D$5))*('Panel Dataset'!C52-$D$5))),1/(1+EXP(-(LN(19)/($D$5-$C$5))*('Panel Dataset'!C52-$D$5))))</f>
        <v>7.7975053447440518E-2</v>
      </c>
      <c r="E67" s="12">
        <f>IF('Panel Dataset'!D52&gt;=$D$6,1/(1+EXP(-(LN(19)/($E$6-$D$6))*('Panel Dataset'!D52-$D$6))),1/(1+EXP(-(LN(19)/($D$6-$C$6))*('Panel Dataset'!D52-$D$6))))</f>
        <v>8.3115006433646374E-2</v>
      </c>
      <c r="F67" s="12">
        <f>IF('Panel Dataset'!E52&gt;=$D$7,1/(1+EXP(-(LN(19)/($E$7-$D$7))*('Panel Dataset'!E52-$D$7))),1/(1+EXP(-(LN(19)/($D$7-$C$7))*('Panel Dataset'!E52-$D$7))))</f>
        <v>4.7772790581245769E-2</v>
      </c>
      <c r="G67" s="12">
        <f>IF('Panel Dataset'!F52&gt;=$D$8,1/(1+EXP(-(LN(19)/($E$8-$D$8))*('Panel Dataset'!F52-$D$8))),1/(1+EXP(-(LN(19)/($D$8-$C$8))*('Panel Dataset'!F52-$D$8))))</f>
        <v>9.5352867755835E-2</v>
      </c>
      <c r="H67" s="12">
        <f>IF('Panel Dataset'!G52&gt;=$D$9,1/(1+EXP(-(LN(19)/($E$9-$D$9))*('Panel Dataset'!G52-$D$9))),1/(1+EXP(-(LN(19)/($D$9-$C$9))*('Panel Dataset'!G52-$D$9))))</f>
        <v>3.8056255662794393E-2</v>
      </c>
      <c r="I67" s="12">
        <f>IF('Panel Dataset'!H52&gt;=$D$10,1/(1+EXP(-(LN(19)/($E$10-$D$10))*('Panel Dataset'!H52-$D$10))),1/(1+EXP(-(LN(19)/($D$10-$C$10))*('Panel Dataset'!H52-$D$10))))</f>
        <v>0.12152357415530368</v>
      </c>
      <c r="J67" s="12">
        <f>IF('Panel Dataset'!I52&gt;=$D$11,1/(1+EXP(-(LN(19)/($E$11-$D$11))*('Panel Dataset'!I52-$D$11))),1/(1+EXP(-(LN(19)/($D$11-$C$11))*('Panel Dataset'!I52-$D$11))))</f>
        <v>6.8067400173257187E-2</v>
      </c>
    </row>
    <row r="68" spans="2:10" x14ac:dyDescent="0.3">
      <c r="B68" s="7" t="str">
        <f>'Panel Dataset'!A53</f>
        <v>Infineon Technologies</v>
      </c>
      <c r="C68" s="7">
        <f>'Panel Dataset'!B53</f>
        <v>2016</v>
      </c>
      <c r="D68" s="12">
        <f>IF('Panel Dataset'!C53&gt;=$D$5,1/(1+EXP(-(LN(19)/($E$5-$D$5))*('Panel Dataset'!C53-$D$5))),1/(1+EXP(-(LN(19)/($D$5-$C$5))*('Panel Dataset'!C53-$D$5))))</f>
        <v>6.5990323455321132E-2</v>
      </c>
      <c r="E68" s="12">
        <f>IF('Panel Dataset'!D53&gt;=$D$6,1/(1+EXP(-(LN(19)/($E$6-$D$6))*('Panel Dataset'!D53-$D$6))),1/(1+EXP(-(LN(19)/($D$6-$C$6))*('Panel Dataset'!D53-$D$6))))</f>
        <v>0.12199690150493933</v>
      </c>
      <c r="F68" s="12">
        <f>IF('Panel Dataset'!E53&gt;=$D$7,1/(1+EXP(-(LN(19)/($E$7-$D$7))*('Panel Dataset'!E53-$D$7))),1/(1+EXP(-(LN(19)/($D$7-$C$7))*('Panel Dataset'!E53-$D$7))))</f>
        <v>3.9203722745273839E-2</v>
      </c>
      <c r="G68" s="12">
        <f>IF('Panel Dataset'!F53&gt;=$D$8,1/(1+EXP(-(LN(19)/($E$8-$D$8))*('Panel Dataset'!F53-$D$8))),1/(1+EXP(-(LN(19)/($D$8-$C$8))*('Panel Dataset'!F53-$D$8))))</f>
        <v>0.10323271826615923</v>
      </c>
      <c r="H68" s="12">
        <f>IF('Panel Dataset'!G53&gt;=$D$9,1/(1+EXP(-(LN(19)/($E$9-$D$9))*('Panel Dataset'!G53-$D$9))),1/(1+EXP(-(LN(19)/($D$9-$C$9))*('Panel Dataset'!G53-$D$9))))</f>
        <v>6.5715202703562278E-2</v>
      </c>
      <c r="I68" s="12">
        <f>IF('Panel Dataset'!H53&gt;=$D$10,1/(1+EXP(-(LN(19)/($E$10-$D$10))*('Panel Dataset'!H53-$D$10))),1/(1+EXP(-(LN(19)/($D$10-$C$10))*('Panel Dataset'!H53-$D$10))))</f>
        <v>8.7995826084556167E-2</v>
      </c>
      <c r="J68" s="12">
        <f>IF('Panel Dataset'!I53&gt;=$D$11,1/(1+EXP(-(LN(19)/($E$11-$D$11))*('Panel Dataset'!I53-$D$11))),1/(1+EXP(-(LN(19)/($D$11-$C$11))*('Panel Dataset'!I53-$D$11))))</f>
        <v>5.2483896308064507E-2</v>
      </c>
    </row>
    <row r="69" spans="2:10" x14ac:dyDescent="0.3">
      <c r="B69" s="7" t="str">
        <f>'Panel Dataset'!A54</f>
        <v>Infineon Technologies</v>
      </c>
      <c r="C69" s="7">
        <f>'Panel Dataset'!B54</f>
        <v>2017</v>
      </c>
      <c r="D69" s="12">
        <f>IF('Panel Dataset'!C54&gt;=$D$5,1/(1+EXP(-(LN(19)/($E$5-$D$5))*('Panel Dataset'!C54-$D$5))),1/(1+EXP(-(LN(19)/($D$5-$C$5))*('Panel Dataset'!C54-$D$5))))</f>
        <v>9.7158125035192472E-2</v>
      </c>
      <c r="E69" s="12">
        <f>IF('Panel Dataset'!D54&gt;=$D$6,1/(1+EXP(-(LN(19)/($E$6-$D$6))*('Panel Dataset'!D54-$D$6))),1/(1+EXP(-(LN(19)/($D$6-$C$6))*('Panel Dataset'!D54-$D$6))))</f>
        <v>0.19483214120953854</v>
      </c>
      <c r="F69" s="12">
        <f>IF('Panel Dataset'!E54&gt;=$D$7,1/(1+EXP(-(LN(19)/($E$7-$D$7))*('Panel Dataset'!E54-$D$7))),1/(1+EXP(-(LN(19)/($D$7-$C$7))*('Panel Dataset'!E54-$D$7))))</f>
        <v>0.19263849425163895</v>
      </c>
      <c r="G69" s="12">
        <f>IF('Panel Dataset'!F54&gt;=$D$8,1/(1+EXP(-(LN(19)/($E$8-$D$8))*('Panel Dataset'!F54-$D$8))),1/(1+EXP(-(LN(19)/($D$8-$C$8))*('Panel Dataset'!F54-$D$8))))</f>
        <v>9.34424784894302E-2</v>
      </c>
      <c r="H69" s="12">
        <f>IF('Panel Dataset'!G54&gt;=$D$9,1/(1+EXP(-(LN(19)/($E$9-$D$9))*('Panel Dataset'!G54-$D$9))),1/(1+EXP(-(LN(19)/($D$9-$C$9))*('Panel Dataset'!G54-$D$9))))</f>
        <v>9.0865712368415105E-2</v>
      </c>
      <c r="I69" s="12">
        <f>IF('Panel Dataset'!H54&gt;=$D$10,1/(1+EXP(-(LN(19)/($E$10-$D$10))*('Panel Dataset'!H54-$D$10))),1/(1+EXP(-(LN(19)/($D$10-$C$10))*('Panel Dataset'!H54-$D$10))))</f>
        <v>0.10292206813868272</v>
      </c>
      <c r="J69" s="12">
        <f>IF('Panel Dataset'!I54&gt;=$D$11,1/(1+EXP(-(LN(19)/($E$11-$D$11))*('Panel Dataset'!I54-$D$11))),1/(1+EXP(-(LN(19)/($D$11-$C$11))*('Panel Dataset'!I54-$D$11))))</f>
        <v>8.477719621674519E-2</v>
      </c>
    </row>
    <row r="70" spans="2:10" x14ac:dyDescent="0.3">
      <c r="B70" s="7" t="str">
        <f>'Panel Dataset'!A55</f>
        <v>Infineon Technologies</v>
      </c>
      <c r="C70" s="7">
        <f>'Panel Dataset'!B55</f>
        <v>2018</v>
      </c>
      <c r="D70" s="12">
        <f>IF('Panel Dataset'!C55&gt;=$D$5,1/(1+EXP(-(LN(19)/($E$5-$D$5))*('Panel Dataset'!C55-$D$5))),1/(1+EXP(-(LN(19)/($D$5-$C$5))*('Panel Dataset'!C55-$D$5))))</f>
        <v>0.14651012451331324</v>
      </c>
      <c r="E70" s="12">
        <f>IF('Panel Dataset'!D55&gt;=$D$6,1/(1+EXP(-(LN(19)/($E$6-$D$6))*('Panel Dataset'!D55-$D$6))),1/(1+EXP(-(LN(19)/($D$6-$C$6))*('Panel Dataset'!D55-$D$6))))</f>
        <v>0.36729391662273325</v>
      </c>
      <c r="F70" s="12">
        <f>IF('Panel Dataset'!E55&gt;=$D$7,1/(1+EXP(-(LN(19)/($E$7-$D$7))*('Panel Dataset'!E55-$D$7))),1/(1+EXP(-(LN(19)/($D$7-$C$7))*('Panel Dataset'!E55-$D$7))))</f>
        <v>0.14065156673215867</v>
      </c>
      <c r="G70" s="12">
        <f>IF('Panel Dataset'!F55&gt;=$D$8,1/(1+EXP(-(LN(19)/($E$8-$D$8))*('Panel Dataset'!F55-$D$8))),1/(1+EXP(-(LN(19)/($D$8-$C$8))*('Panel Dataset'!F55-$D$8))))</f>
        <v>0.13097170928557278</v>
      </c>
      <c r="H70" s="12">
        <f>IF('Panel Dataset'!G55&gt;=$D$9,1/(1+EXP(-(LN(19)/($E$9-$D$9))*('Panel Dataset'!G55-$D$9))),1/(1+EXP(-(LN(19)/($D$9-$C$9))*('Panel Dataset'!G55-$D$9))))</f>
        <v>0.2157058664427203</v>
      </c>
      <c r="I70" s="12">
        <f>IF('Panel Dataset'!H55&gt;=$D$10,1/(1+EXP(-(LN(19)/($E$10-$D$10))*('Panel Dataset'!H55-$D$10))),1/(1+EXP(-(LN(19)/($D$10-$C$10))*('Panel Dataset'!H55-$D$10))))</f>
        <v>0.12535313092333464</v>
      </c>
      <c r="J70" s="12">
        <f>IF('Panel Dataset'!I55&gt;=$D$11,1/(1+EXP(-(LN(19)/($E$11-$D$11))*('Panel Dataset'!I55-$D$11))),1/(1+EXP(-(LN(19)/($D$11-$C$11))*('Panel Dataset'!I55-$D$11))))</f>
        <v>0.1652693786699507</v>
      </c>
    </row>
    <row r="71" spans="2:10" x14ac:dyDescent="0.3">
      <c r="B71" s="7" t="str">
        <f>'Panel Dataset'!A56</f>
        <v>Infineon Technologies</v>
      </c>
      <c r="C71" s="7">
        <f>'Panel Dataset'!B56</f>
        <v>2019</v>
      </c>
      <c r="D71" s="12">
        <f>IF('Panel Dataset'!C56&gt;=$D$5,1/(1+EXP(-(LN(19)/($E$5-$D$5))*('Panel Dataset'!C56-$D$5))),1/(1+EXP(-(LN(19)/($D$5-$C$5))*('Panel Dataset'!C56-$D$5))))</f>
        <v>0.30163180043397053</v>
      </c>
      <c r="E71" s="12">
        <f>IF('Panel Dataset'!D56&gt;=$D$6,1/(1+EXP(-(LN(19)/($E$6-$D$6))*('Panel Dataset'!D56-$D$6))),1/(1+EXP(-(LN(19)/($D$6-$C$6))*('Panel Dataset'!D56-$D$6))))</f>
        <v>0.45955068972802349</v>
      </c>
      <c r="F71" s="12">
        <f>IF('Panel Dataset'!E56&gt;=$D$7,1/(1+EXP(-(LN(19)/($E$7-$D$7))*('Panel Dataset'!E56-$D$7))),1/(1+EXP(-(LN(19)/($D$7-$C$7))*('Panel Dataset'!E56-$D$7))))</f>
        <v>0.21176357301052148</v>
      </c>
      <c r="G71" s="12">
        <f>IF('Panel Dataset'!F56&gt;=$D$8,1/(1+EXP(-(LN(19)/($E$8-$D$8))*('Panel Dataset'!F56-$D$8))),1/(1+EXP(-(LN(19)/($D$8-$C$8))*('Panel Dataset'!F56-$D$8))))</f>
        <v>0.19848747441003675</v>
      </c>
      <c r="H71" s="12">
        <f>IF('Panel Dataset'!G56&gt;=$D$9,1/(1+EXP(-(LN(19)/($E$9-$D$9))*('Panel Dataset'!G56-$D$9))),1/(1+EXP(-(LN(19)/($D$9-$C$9))*('Panel Dataset'!G56-$D$9))))</f>
        <v>0.21314664539356762</v>
      </c>
      <c r="I71" s="12">
        <f>IF('Panel Dataset'!H56&gt;=$D$10,1/(1+EXP(-(LN(19)/($E$10-$D$10))*('Panel Dataset'!H56-$D$10))),1/(1+EXP(-(LN(19)/($D$10-$C$10))*('Panel Dataset'!H56-$D$10))))</f>
        <v>0.16991872186410228</v>
      </c>
      <c r="J71" s="12">
        <f>IF('Panel Dataset'!I56&gt;=$D$11,1/(1+EXP(-(LN(19)/($E$11-$D$11))*('Panel Dataset'!I56-$D$11))),1/(1+EXP(-(LN(19)/($D$11-$C$11))*('Panel Dataset'!I56-$D$11))))</f>
        <v>0.15944249551400394</v>
      </c>
    </row>
    <row r="72" spans="2:10" x14ac:dyDescent="0.3">
      <c r="B72" s="7" t="str">
        <f>'Panel Dataset'!A57</f>
        <v>Infineon Technologies</v>
      </c>
      <c r="C72" s="7">
        <f>'Panel Dataset'!B57</f>
        <v>2020</v>
      </c>
      <c r="D72" s="12">
        <f>IF('Panel Dataset'!C57&gt;=$D$5,1/(1+EXP(-(LN(19)/($E$5-$D$5))*('Panel Dataset'!C57-$D$5))),1/(1+EXP(-(LN(19)/($D$5-$C$5))*('Panel Dataset'!C57-$D$5))))</f>
        <v>0.37170774017608882</v>
      </c>
      <c r="E72" s="12">
        <f>IF('Panel Dataset'!D57&gt;=$D$6,1/(1+EXP(-(LN(19)/($E$6-$D$6))*('Panel Dataset'!D57-$D$6))),1/(1+EXP(-(LN(19)/($D$6-$C$6))*('Panel Dataset'!D57-$D$6))))</f>
        <v>0.71485961074164706</v>
      </c>
      <c r="F72" s="12">
        <f>IF('Panel Dataset'!E57&gt;=$D$7,1/(1+EXP(-(LN(19)/($E$7-$D$7))*('Panel Dataset'!E57-$D$7))),1/(1+EXP(-(LN(19)/($D$7-$C$7))*('Panel Dataset'!E57-$D$7))))</f>
        <v>0.37233907444496572</v>
      </c>
      <c r="G72" s="12">
        <f>IF('Panel Dataset'!F57&gt;=$D$8,1/(1+EXP(-(LN(19)/($E$8-$D$8))*('Panel Dataset'!F57-$D$8))),1/(1+EXP(-(LN(19)/($D$8-$C$8))*('Panel Dataset'!F57-$D$8))))</f>
        <v>0.37244922482148307</v>
      </c>
      <c r="H72" s="12">
        <f>IF('Panel Dataset'!G57&gt;=$D$9,1/(1+EXP(-(LN(19)/($E$9-$D$9))*('Panel Dataset'!G57-$D$9))),1/(1+EXP(-(LN(19)/($D$9-$C$9))*('Panel Dataset'!G57-$D$9))))</f>
        <v>0.46175400516272364</v>
      </c>
      <c r="I72" s="12">
        <f>IF('Panel Dataset'!H57&gt;=$D$10,1/(1+EXP(-(LN(19)/($E$10-$D$10))*('Panel Dataset'!H57-$D$10))),1/(1+EXP(-(LN(19)/($D$10-$C$10))*('Panel Dataset'!H57-$D$10))))</f>
        <v>0.26925861371600684</v>
      </c>
      <c r="J72" s="12">
        <f>IF('Panel Dataset'!I57&gt;=$D$11,1/(1+EXP(-(LN(19)/($E$11-$D$11))*('Panel Dataset'!I57-$D$11))),1/(1+EXP(-(LN(19)/($D$11-$C$11))*('Panel Dataset'!I57-$D$11))))</f>
        <v>0.25683466325555399</v>
      </c>
    </row>
    <row r="73" spans="2:10" x14ac:dyDescent="0.3">
      <c r="B73" s="7" t="str">
        <f>'Panel Dataset'!A58</f>
        <v>Infineon Technologies</v>
      </c>
      <c r="C73" s="7">
        <f>'Panel Dataset'!B58</f>
        <v>2021</v>
      </c>
      <c r="D73" s="12">
        <f>IF('Panel Dataset'!C58&gt;=$D$5,1/(1+EXP(-(LN(19)/($E$5-$D$5))*('Panel Dataset'!C58-$D$5))),1/(1+EXP(-(LN(19)/($D$5-$C$5))*('Panel Dataset'!C58-$D$5))))</f>
        <v>0.69842290349291369</v>
      </c>
      <c r="E73" s="12">
        <f>IF('Panel Dataset'!D58&gt;=$D$6,1/(1+EXP(-(LN(19)/($E$6-$D$6))*('Panel Dataset'!D58-$D$6))),1/(1+EXP(-(LN(19)/($D$6-$C$6))*('Panel Dataset'!D58-$D$6))))</f>
        <v>0.76149325064128848</v>
      </c>
      <c r="F73" s="12">
        <f>IF('Panel Dataset'!E58&gt;=$D$7,1/(1+EXP(-(LN(19)/($E$7-$D$7))*('Panel Dataset'!E58-$D$7))),1/(1+EXP(-(LN(19)/($D$7-$C$7))*('Panel Dataset'!E58-$D$7))))</f>
        <v>0.42690135036813182</v>
      </c>
      <c r="G73" s="12">
        <f>IF('Panel Dataset'!F58&gt;=$D$8,1/(1+EXP(-(LN(19)/($E$8-$D$8))*('Panel Dataset'!F58-$D$8))),1/(1+EXP(-(LN(19)/($D$8-$C$8))*('Panel Dataset'!F58-$D$8))))</f>
        <v>0.58266025385541809</v>
      </c>
      <c r="H73" s="12">
        <f>IF('Panel Dataset'!G58&gt;=$D$9,1/(1+EXP(-(LN(19)/($E$9-$D$9))*('Panel Dataset'!G58-$D$9))),1/(1+EXP(-(LN(19)/($D$9-$C$9))*('Panel Dataset'!G58-$D$9))))</f>
        <v>0.63311419893417009</v>
      </c>
      <c r="I73" s="12">
        <f>IF('Panel Dataset'!H58&gt;=$D$10,1/(1+EXP(-(LN(19)/($E$10-$D$10))*('Panel Dataset'!H58-$D$10))),1/(1+EXP(-(LN(19)/($D$10-$C$10))*('Panel Dataset'!H58-$D$10))))</f>
        <v>0.75357124426181799</v>
      </c>
      <c r="J73" s="12">
        <f>IF('Panel Dataset'!I58&gt;=$D$11,1/(1+EXP(-(LN(19)/($E$11-$D$11))*('Panel Dataset'!I58-$D$11))),1/(1+EXP(-(LN(19)/($D$11-$C$11))*('Panel Dataset'!I58-$D$11))))</f>
        <v>0.80455443525701642</v>
      </c>
    </row>
    <row r="74" spans="2:10" x14ac:dyDescent="0.3">
      <c r="B74" s="7" t="str">
        <f>'Panel Dataset'!A59</f>
        <v>Infineon Technologies</v>
      </c>
      <c r="C74" s="7">
        <f>'Panel Dataset'!B59</f>
        <v>2022</v>
      </c>
      <c r="D74" s="12">
        <f>IF('Panel Dataset'!C59&gt;=$D$5,1/(1+EXP(-(LN(19)/($E$5-$D$5))*('Panel Dataset'!C59-$D$5))),1/(1+EXP(-(LN(19)/($D$5-$C$5))*('Panel Dataset'!C59-$D$5))))</f>
        <v>0.78233040114161334</v>
      </c>
      <c r="E74" s="12">
        <f>IF('Panel Dataset'!D59&gt;=$D$6,1/(1+EXP(-(LN(19)/($E$6-$D$6))*('Panel Dataset'!D59-$D$6))),1/(1+EXP(-(LN(19)/($D$6-$C$6))*('Panel Dataset'!D59-$D$6))))</f>
        <v>0.80085028304417838</v>
      </c>
      <c r="F74" s="12">
        <f>IF('Panel Dataset'!E59&gt;=$D$7,1/(1+EXP(-(LN(19)/($E$7-$D$7))*('Panel Dataset'!E59-$D$7))),1/(1+EXP(-(LN(19)/($D$7-$C$7))*('Panel Dataset'!E59-$D$7))))</f>
        <v>0.63574464728608771</v>
      </c>
      <c r="G74" s="12">
        <f>IF('Panel Dataset'!F59&gt;=$D$8,1/(1+EXP(-(LN(19)/($E$8-$D$8))*('Panel Dataset'!F59-$D$8))),1/(1+EXP(-(LN(19)/($D$8-$C$8))*('Panel Dataset'!F59-$D$8))))</f>
        <v>0.78577254135525032</v>
      </c>
      <c r="H74" s="12">
        <f>IF('Panel Dataset'!G59&gt;=$D$9,1/(1+EXP(-(LN(19)/($E$9-$D$9))*('Panel Dataset'!G59-$D$9))),1/(1+EXP(-(LN(19)/($D$9-$C$9))*('Panel Dataset'!G59-$D$9))))</f>
        <v>0.36098437261597083</v>
      </c>
      <c r="I74" s="12">
        <f>IF('Panel Dataset'!H59&gt;=$D$10,1/(1+EXP(-(LN(19)/($E$10-$D$10))*('Panel Dataset'!H59-$D$10))),1/(1+EXP(-(LN(19)/($D$10-$C$10))*('Panel Dataset'!H59-$D$10))))</f>
        <v>0.83386709435534001</v>
      </c>
      <c r="J74" s="12">
        <f>IF('Panel Dataset'!I59&gt;=$D$11,1/(1+EXP(-(LN(19)/($E$11-$D$11))*('Panel Dataset'!I59-$D$11))),1/(1+EXP(-(LN(19)/($D$11-$C$11))*('Panel Dataset'!I59-$D$11))))</f>
        <v>0.8913395566168173</v>
      </c>
    </row>
    <row r="75" spans="2:10" x14ac:dyDescent="0.3">
      <c r="B75" s="7" t="str">
        <f>'Panel Dataset'!A60</f>
        <v>Infineon Technologies</v>
      </c>
      <c r="C75" s="7">
        <f>'Panel Dataset'!B60</f>
        <v>2023</v>
      </c>
      <c r="D75" s="12">
        <f>IF('Panel Dataset'!C60&gt;=$D$5,1/(1+EXP(-(LN(19)/($E$5-$D$5))*('Panel Dataset'!C60-$D$5))),1/(1+EXP(-(LN(19)/($D$5-$C$5))*('Panel Dataset'!C60-$D$5))))</f>
        <v>0.83941374216431708</v>
      </c>
      <c r="E75" s="12">
        <f>IF('Panel Dataset'!D60&gt;=$D$6,1/(1+EXP(-(LN(19)/($E$6-$D$6))*('Panel Dataset'!D60-$D$6))),1/(1+EXP(-(LN(19)/($D$6-$C$6))*('Panel Dataset'!D60-$D$6))))</f>
        <v>0.92873219689801423</v>
      </c>
      <c r="F75" s="12">
        <f>IF('Panel Dataset'!E60&gt;=$D$7,1/(1+EXP(-(LN(19)/($E$7-$D$7))*('Panel Dataset'!E60-$D$7))),1/(1+EXP(-(LN(19)/($D$7-$C$7))*('Panel Dataset'!E60-$D$7))))</f>
        <v>0.84717494607261412</v>
      </c>
      <c r="G75" s="12">
        <f>IF('Panel Dataset'!F60&gt;=$D$8,1/(1+EXP(-(LN(19)/($E$8-$D$8))*('Panel Dataset'!F60-$D$8))),1/(1+EXP(-(LN(19)/($D$8-$C$8))*('Panel Dataset'!F60-$D$8))))</f>
        <v>0.88130316547436915</v>
      </c>
      <c r="H75" s="12">
        <f>IF('Panel Dataset'!G60&gt;=$D$9,1/(1+EXP(-(LN(19)/($E$9-$D$9))*('Panel Dataset'!G60-$D$9))),1/(1+EXP(-(LN(19)/($D$9-$C$9))*('Panel Dataset'!G60-$D$9))))</f>
        <v>0.6518686450788671</v>
      </c>
      <c r="I75" s="12">
        <f>IF('Panel Dataset'!H60&gt;=$D$10,1/(1+EXP(-(LN(19)/($E$10-$D$10))*('Panel Dataset'!H60-$D$10))),1/(1+EXP(-(LN(19)/($D$10-$C$10))*('Panel Dataset'!H60-$D$10))))</f>
        <v>0.84143007268677639</v>
      </c>
      <c r="J75" s="12">
        <f>IF('Panel Dataset'!I60&gt;=$D$11,1/(1+EXP(-(LN(19)/($E$11-$D$11))*('Panel Dataset'!I60-$D$11))),1/(1+EXP(-(LN(19)/($D$11-$C$11))*('Panel Dataset'!I60-$D$11))))</f>
        <v>0.8301097945131064</v>
      </c>
    </row>
    <row r="76" spans="2:10" x14ac:dyDescent="0.3">
      <c r="B76" s="7" t="str">
        <f>'Panel Dataset'!A61</f>
        <v>Infineon Technologies</v>
      </c>
      <c r="C76" s="7">
        <f>'Panel Dataset'!B61</f>
        <v>2024</v>
      </c>
      <c r="D76" s="12">
        <f>IF('Panel Dataset'!C61&gt;=$D$5,1/(1+EXP(-(LN(19)/($E$5-$D$5))*('Panel Dataset'!C61-$D$5))),1/(1+EXP(-(LN(19)/($D$5-$C$5))*('Panel Dataset'!C61-$D$5))))</f>
        <v>0.91416328818992487</v>
      </c>
      <c r="E76" s="12">
        <f>IF('Panel Dataset'!D61&gt;=$D$6,1/(1+EXP(-(LN(19)/($E$6-$D$6))*('Panel Dataset'!D61-$D$6))),1/(1+EXP(-(LN(19)/($D$6-$C$6))*('Panel Dataset'!D61-$D$6))))</f>
        <v>0.95540162963126862</v>
      </c>
      <c r="F76" s="12">
        <f>IF('Panel Dataset'!E61&gt;=$D$7,1/(1+EXP(-(LN(19)/($E$7-$D$7))*('Panel Dataset'!E61-$D$7))),1/(1+EXP(-(LN(19)/($D$7-$C$7))*('Panel Dataset'!E61-$D$7))))</f>
        <v>0.8503676013811774</v>
      </c>
      <c r="G76" s="12">
        <f>IF('Panel Dataset'!F61&gt;=$D$8,1/(1+EXP(-(LN(19)/($E$8-$D$8))*('Panel Dataset'!F61-$D$8))),1/(1+EXP(-(LN(19)/($D$8-$C$8))*('Panel Dataset'!F61-$D$8))))</f>
        <v>0.88117322811326515</v>
      </c>
      <c r="H76" s="12">
        <f>IF('Panel Dataset'!G61&gt;=$D$9,1/(1+EXP(-(LN(19)/($E$9-$D$9))*('Panel Dataset'!G61-$D$9))),1/(1+EXP(-(LN(19)/($D$9-$C$9))*('Panel Dataset'!G61-$D$9))))</f>
        <v>0.78027565068669236</v>
      </c>
      <c r="I76" s="12">
        <f>IF('Panel Dataset'!H61&gt;=$D$10,1/(1+EXP(-(LN(19)/($E$10-$D$10))*('Panel Dataset'!H61-$D$10))),1/(1+EXP(-(LN(19)/($D$10-$C$10))*('Panel Dataset'!H61-$D$10))))</f>
        <v>0.87162579901768755</v>
      </c>
      <c r="J76" s="12">
        <f>IF('Panel Dataset'!I61&gt;=$D$11,1/(1+EXP(-(LN(19)/($E$11-$D$11))*('Panel Dataset'!I61-$D$11))),1/(1+EXP(-(LN(19)/($D$11-$C$11))*('Panel Dataset'!I61-$D$11))))</f>
        <v>0.94171194450896412</v>
      </c>
    </row>
    <row r="77" spans="2:10" x14ac:dyDescent="0.3">
      <c r="B77" s="7" t="str">
        <f>'Panel Dataset'!A62</f>
        <v>Intel Corporation</v>
      </c>
      <c r="C77" s="7">
        <f>'Panel Dataset'!B62</f>
        <v>2015</v>
      </c>
      <c r="D77" s="12">
        <f>IF('Panel Dataset'!C62&gt;=$D$5,1/(1+EXP(-(LN(19)/($E$5-$D$5))*('Panel Dataset'!C62-$D$5))),1/(1+EXP(-(LN(19)/($D$5-$C$5))*('Panel Dataset'!C62-$D$5))))</f>
        <v>6.2683887830277132E-2</v>
      </c>
      <c r="E77" s="12">
        <f>IF('Panel Dataset'!D62&gt;=$D$6,1/(1+EXP(-(LN(19)/($E$6-$D$6))*('Panel Dataset'!D62-$D$6))),1/(1+EXP(-(LN(19)/($D$6-$C$6))*('Panel Dataset'!D62-$D$6))))</f>
        <v>6.9165438562282633E-2</v>
      </c>
      <c r="F77" s="12">
        <f>IF('Panel Dataset'!E62&gt;=$D$7,1/(1+EXP(-(LN(19)/($E$7-$D$7))*('Panel Dataset'!E62-$D$7))),1/(1+EXP(-(LN(19)/($D$7-$C$7))*('Panel Dataset'!E62-$D$7))))</f>
        <v>4.2578702748573935E-2</v>
      </c>
      <c r="G77" s="12">
        <f>IF('Panel Dataset'!F62&gt;=$D$8,1/(1+EXP(-(LN(19)/($E$8-$D$8))*('Panel Dataset'!F62-$D$8))),1/(1+EXP(-(LN(19)/($D$8-$C$8))*('Panel Dataset'!F62-$D$8))))</f>
        <v>7.3659261374399113E-2</v>
      </c>
      <c r="H77" s="12">
        <f>IF('Panel Dataset'!G62&gt;=$D$9,1/(1+EXP(-(LN(19)/($E$9-$D$9))*('Panel Dataset'!G62-$D$9))),1/(1+EXP(-(LN(19)/($D$9-$C$9))*('Panel Dataset'!G62-$D$9))))</f>
        <v>3.2210807624235213E-2</v>
      </c>
      <c r="I77" s="12">
        <f>IF('Panel Dataset'!H62&gt;=$D$10,1/(1+EXP(-(LN(19)/($E$10-$D$10))*('Panel Dataset'!H62-$D$10))),1/(1+EXP(-(LN(19)/($D$10-$C$10))*('Panel Dataset'!H62-$D$10))))</f>
        <v>9.756442910854525E-2</v>
      </c>
      <c r="J77" s="12">
        <f>IF('Panel Dataset'!I62&gt;=$D$11,1/(1+EXP(-(LN(19)/($E$11-$D$11))*('Panel Dataset'!I62-$D$11))),1/(1+EXP(-(LN(19)/($D$11-$C$11))*('Panel Dataset'!I62-$D$11))))</f>
        <v>7.559258767134179E-2</v>
      </c>
    </row>
    <row r="78" spans="2:10" x14ac:dyDescent="0.3">
      <c r="B78" s="7" t="str">
        <f>'Panel Dataset'!A63</f>
        <v>Intel Corporation</v>
      </c>
      <c r="C78" s="7">
        <f>'Panel Dataset'!B63</f>
        <v>2016</v>
      </c>
      <c r="D78" s="12">
        <f>IF('Panel Dataset'!C63&gt;=$D$5,1/(1+EXP(-(LN(19)/($E$5-$D$5))*('Panel Dataset'!C63-$D$5))),1/(1+EXP(-(LN(19)/($D$5-$C$5))*('Panel Dataset'!C63-$D$5))))</f>
        <v>6.7782546646590544E-2</v>
      </c>
      <c r="E78" s="12">
        <f>IF('Panel Dataset'!D63&gt;=$D$6,1/(1+EXP(-(LN(19)/($E$6-$D$6))*('Panel Dataset'!D63-$D$6))),1/(1+EXP(-(LN(19)/($D$6-$C$6))*('Panel Dataset'!D63-$D$6))))</f>
        <v>0.17416805711770963</v>
      </c>
      <c r="F78" s="12">
        <f>IF('Panel Dataset'!E63&gt;=$D$7,1/(1+EXP(-(LN(19)/($E$7-$D$7))*('Panel Dataset'!E63-$D$7))),1/(1+EXP(-(LN(19)/($D$7-$C$7))*('Panel Dataset'!E63-$D$7))))</f>
        <v>3.5165905925830111E-2</v>
      </c>
      <c r="G78" s="12">
        <f>IF('Panel Dataset'!F63&gt;=$D$8,1/(1+EXP(-(LN(19)/($E$8-$D$8))*('Panel Dataset'!F63-$D$8))),1/(1+EXP(-(LN(19)/($D$8-$C$8))*('Panel Dataset'!F63-$D$8))))</f>
        <v>0.10265944544815984</v>
      </c>
      <c r="H78" s="12">
        <f>IF('Panel Dataset'!G63&gt;=$D$9,1/(1+EXP(-(LN(19)/($E$9-$D$9))*('Panel Dataset'!G63-$D$9))),1/(1+EXP(-(LN(19)/($D$9-$C$9))*('Panel Dataset'!G63-$D$9))))</f>
        <v>8.8080977136695368E-2</v>
      </c>
      <c r="I78" s="12">
        <f>IF('Panel Dataset'!H63&gt;=$D$10,1/(1+EXP(-(LN(19)/($E$10-$D$10))*('Panel Dataset'!H63-$D$10))),1/(1+EXP(-(LN(19)/($D$10-$C$10))*('Panel Dataset'!H63-$D$10))))</f>
        <v>6.6814264612823485E-2</v>
      </c>
      <c r="J78" s="12">
        <f>IF('Panel Dataset'!I63&gt;=$D$11,1/(1+EXP(-(LN(19)/($E$11-$D$11))*('Panel Dataset'!I63-$D$11))),1/(1+EXP(-(LN(19)/($D$11-$C$11))*('Panel Dataset'!I63-$D$11))))</f>
        <v>0.18730606284799281</v>
      </c>
    </row>
    <row r="79" spans="2:10" x14ac:dyDescent="0.3">
      <c r="B79" s="7" t="str">
        <f>'Panel Dataset'!A64</f>
        <v>Intel Corporation</v>
      </c>
      <c r="C79" s="7">
        <f>'Panel Dataset'!B64</f>
        <v>2017</v>
      </c>
      <c r="D79" s="12">
        <f>IF('Panel Dataset'!C64&gt;=$D$5,1/(1+EXP(-(LN(19)/($E$5-$D$5))*('Panel Dataset'!C64-$D$5))),1/(1+EXP(-(LN(19)/($D$5-$C$5))*('Panel Dataset'!C64-$D$5))))</f>
        <v>7.1337456415971168E-2</v>
      </c>
      <c r="E79" s="12">
        <f>IF('Panel Dataset'!D64&gt;=$D$6,1/(1+EXP(-(LN(19)/($E$6-$D$6))*('Panel Dataset'!D64-$D$6))),1/(1+EXP(-(LN(19)/($D$6-$C$6))*('Panel Dataset'!D64-$D$6))))</f>
        <v>0.18874490141065881</v>
      </c>
      <c r="F79" s="12">
        <f>IF('Panel Dataset'!E64&gt;=$D$7,1/(1+EXP(-(LN(19)/($E$7-$D$7))*('Panel Dataset'!E64-$D$7))),1/(1+EXP(-(LN(19)/($D$7-$C$7))*('Panel Dataset'!E64-$D$7))))</f>
        <v>8.2941823347976895E-2</v>
      </c>
      <c r="G79" s="12">
        <f>IF('Panel Dataset'!F64&gt;=$D$8,1/(1+EXP(-(LN(19)/($E$8-$D$8))*('Panel Dataset'!F64-$D$8))),1/(1+EXP(-(LN(19)/($D$8-$C$8))*('Panel Dataset'!F64-$D$8))))</f>
        <v>8.7023968453753875E-2</v>
      </c>
      <c r="H79" s="12">
        <f>IF('Panel Dataset'!G64&gt;=$D$9,1/(1+EXP(-(LN(19)/($E$9-$D$9))*('Panel Dataset'!G64-$D$9))),1/(1+EXP(-(LN(19)/($D$9-$C$9))*('Panel Dataset'!G64-$D$9))))</f>
        <v>7.5681721011502376E-2</v>
      </c>
      <c r="I79" s="12">
        <f>IF('Panel Dataset'!H64&gt;=$D$10,1/(1+EXP(-(LN(19)/($E$10-$D$10))*('Panel Dataset'!H64-$D$10))),1/(1+EXP(-(LN(19)/($D$10-$C$10))*('Panel Dataset'!H64-$D$10))))</f>
        <v>0.12942797728576166</v>
      </c>
      <c r="J79" s="12">
        <f>IF('Panel Dataset'!I64&gt;=$D$11,1/(1+EXP(-(LN(19)/($E$11-$D$11))*('Panel Dataset'!I64-$D$11))),1/(1+EXP(-(LN(19)/($D$11-$C$11))*('Panel Dataset'!I64-$D$11))))</f>
        <v>0.21349215856936851</v>
      </c>
    </row>
    <row r="80" spans="2:10" x14ac:dyDescent="0.3">
      <c r="B80" s="7" t="str">
        <f>'Panel Dataset'!A65</f>
        <v>Intel Corporation</v>
      </c>
      <c r="C80" s="7">
        <f>'Panel Dataset'!B65</f>
        <v>2018</v>
      </c>
      <c r="D80" s="12">
        <f>IF('Panel Dataset'!C65&gt;=$D$5,1/(1+EXP(-(LN(19)/($E$5-$D$5))*('Panel Dataset'!C65-$D$5))),1/(1+EXP(-(LN(19)/($D$5-$C$5))*('Panel Dataset'!C65-$D$5))))</f>
        <v>0.10663574920248996</v>
      </c>
      <c r="E80" s="12">
        <f>IF('Panel Dataset'!D65&gt;=$D$6,1/(1+EXP(-(LN(19)/($E$6-$D$6))*('Panel Dataset'!D65-$D$6))),1/(1+EXP(-(LN(19)/($D$6-$C$6))*('Panel Dataset'!D65-$D$6))))</f>
        <v>0.3834064279729632</v>
      </c>
      <c r="F80" s="12">
        <f>IF('Panel Dataset'!E65&gt;=$D$7,1/(1+EXP(-(LN(19)/($E$7-$D$7))*('Panel Dataset'!E65-$D$7))),1/(1+EXP(-(LN(19)/($D$7-$C$7))*('Panel Dataset'!E65-$D$7))))</f>
        <v>0.22448708260753453</v>
      </c>
      <c r="G80" s="12">
        <f>IF('Panel Dataset'!F65&gt;=$D$8,1/(1+EXP(-(LN(19)/($E$8-$D$8))*('Panel Dataset'!F65-$D$8))),1/(1+EXP(-(LN(19)/($D$8-$C$8))*('Panel Dataset'!F65-$D$8))))</f>
        <v>0.11942084716116068</v>
      </c>
      <c r="H80" s="12">
        <f>IF('Panel Dataset'!G65&gt;=$D$9,1/(1+EXP(-(LN(19)/($E$9-$D$9))*('Panel Dataset'!G65-$D$9))),1/(1+EXP(-(LN(19)/($D$9-$C$9))*('Panel Dataset'!G65-$D$9))))</f>
        <v>0.13843792937273805</v>
      </c>
      <c r="I80" s="12">
        <f>IF('Panel Dataset'!H65&gt;=$D$10,1/(1+EXP(-(LN(19)/($E$10-$D$10))*('Panel Dataset'!H65-$D$10))),1/(1+EXP(-(LN(19)/($D$10-$C$10))*('Panel Dataset'!H65-$D$10))))</f>
        <v>0.10744260009784061</v>
      </c>
      <c r="J80" s="12">
        <f>IF('Panel Dataset'!I65&gt;=$D$11,1/(1+EXP(-(LN(19)/($E$11-$D$11))*('Panel Dataset'!I65-$D$11))),1/(1+EXP(-(LN(19)/($D$11-$C$11))*('Panel Dataset'!I65-$D$11))))</f>
        <v>0.27121382307826164</v>
      </c>
    </row>
    <row r="81" spans="2:10" x14ac:dyDescent="0.3">
      <c r="B81" s="7" t="str">
        <f>'Panel Dataset'!A66</f>
        <v>Intel Corporation</v>
      </c>
      <c r="C81" s="7">
        <f>'Panel Dataset'!B66</f>
        <v>2019</v>
      </c>
      <c r="D81" s="12">
        <f>IF('Panel Dataset'!C66&gt;=$D$5,1/(1+EXP(-(LN(19)/($E$5-$D$5))*('Panel Dataset'!C66-$D$5))),1/(1+EXP(-(LN(19)/($D$5-$C$5))*('Panel Dataset'!C66-$D$5))))</f>
        <v>0.11653198803953851</v>
      </c>
      <c r="E81" s="12">
        <f>IF('Panel Dataset'!D66&gt;=$D$6,1/(1+EXP(-(LN(19)/($E$6-$D$6))*('Panel Dataset'!D66-$D$6))),1/(1+EXP(-(LN(19)/($D$6-$C$6))*('Panel Dataset'!D66-$D$6))))</f>
        <v>0.49658814374458604</v>
      </c>
      <c r="F81" s="12">
        <f>IF('Panel Dataset'!E66&gt;=$D$7,1/(1+EXP(-(LN(19)/($E$7-$D$7))*('Panel Dataset'!E66-$D$7))),1/(1+EXP(-(LN(19)/($D$7-$C$7))*('Panel Dataset'!E66-$D$7))))</f>
        <v>0.27642418008969039</v>
      </c>
      <c r="G81" s="12">
        <f>IF('Panel Dataset'!F66&gt;=$D$8,1/(1+EXP(-(LN(19)/($E$8-$D$8))*('Panel Dataset'!F66-$D$8))),1/(1+EXP(-(LN(19)/($D$8-$C$8))*('Panel Dataset'!F66-$D$8))))</f>
        <v>0.26948495495589025</v>
      </c>
      <c r="H81" s="12">
        <f>IF('Panel Dataset'!G66&gt;=$D$9,1/(1+EXP(-(LN(19)/($E$9-$D$9))*('Panel Dataset'!G66-$D$9))),1/(1+EXP(-(LN(19)/($D$9-$C$9))*('Panel Dataset'!G66-$D$9))))</f>
        <v>0.27489770802049612</v>
      </c>
      <c r="I81" s="12">
        <f>IF('Panel Dataset'!H66&gt;=$D$10,1/(1+EXP(-(LN(19)/($E$10-$D$10))*('Panel Dataset'!H66-$D$10))),1/(1+EXP(-(LN(19)/($D$10-$C$10))*('Panel Dataset'!H66-$D$10))))</f>
        <v>0.12301587530858113</v>
      </c>
      <c r="J81" s="12">
        <f>IF('Panel Dataset'!I66&gt;=$D$11,1/(1+EXP(-(LN(19)/($E$11-$D$11))*('Panel Dataset'!I66-$D$11))),1/(1+EXP(-(LN(19)/($D$11-$C$11))*('Panel Dataset'!I66-$D$11))))</f>
        <v>0.1236365563422</v>
      </c>
    </row>
    <row r="82" spans="2:10" x14ac:dyDescent="0.3">
      <c r="B82" s="7" t="str">
        <f>'Panel Dataset'!A67</f>
        <v>Intel Corporation</v>
      </c>
      <c r="C82" s="7">
        <f>'Panel Dataset'!B67</f>
        <v>2020</v>
      </c>
      <c r="D82" s="12">
        <f>IF('Panel Dataset'!C67&gt;=$D$5,1/(1+EXP(-(LN(19)/($E$5-$D$5))*('Panel Dataset'!C67-$D$5))),1/(1+EXP(-(LN(19)/($D$5-$C$5))*('Panel Dataset'!C67-$D$5))))</f>
        <v>0.29483780476843635</v>
      </c>
      <c r="E82" s="12">
        <f>IF('Panel Dataset'!D67&gt;=$D$6,1/(1+EXP(-(LN(19)/($E$6-$D$6))*('Panel Dataset'!D67-$D$6))),1/(1+EXP(-(LN(19)/($D$6-$C$6))*('Panel Dataset'!D67-$D$6))))</f>
        <v>0.67131629698729611</v>
      </c>
      <c r="F82" s="12">
        <f>IF('Panel Dataset'!E67&gt;=$D$7,1/(1+EXP(-(LN(19)/($E$7-$D$7))*('Panel Dataset'!E67-$D$7))),1/(1+EXP(-(LN(19)/($D$7-$C$7))*('Panel Dataset'!E67-$D$7))))</f>
        <v>0.3429015405084837</v>
      </c>
      <c r="G82" s="12">
        <f>IF('Panel Dataset'!F67&gt;=$D$8,1/(1+EXP(-(LN(19)/($E$8-$D$8))*('Panel Dataset'!F67-$D$8))),1/(1+EXP(-(LN(19)/($D$8-$C$8))*('Panel Dataset'!F67-$D$8))))</f>
        <v>0.59886719300283853</v>
      </c>
      <c r="H82" s="12">
        <f>IF('Panel Dataset'!G67&gt;=$D$9,1/(1+EXP(-(LN(19)/($E$9-$D$9))*('Panel Dataset'!G67-$D$9))),1/(1+EXP(-(LN(19)/($D$9-$C$9))*('Panel Dataset'!G67-$D$9))))</f>
        <v>0.61124352187535858</v>
      </c>
      <c r="I82" s="12">
        <f>IF('Panel Dataset'!H67&gt;=$D$10,1/(1+EXP(-(LN(19)/($E$10-$D$10))*('Panel Dataset'!H67-$D$10))),1/(1+EXP(-(LN(19)/($D$10-$C$10))*('Panel Dataset'!H67-$D$10))))</f>
        <v>0.20693634704386438</v>
      </c>
      <c r="J82" s="12">
        <f>IF('Panel Dataset'!I67&gt;=$D$11,1/(1+EXP(-(LN(19)/($E$11-$D$11))*('Panel Dataset'!I67-$D$11))),1/(1+EXP(-(LN(19)/($D$11-$C$11))*('Panel Dataset'!I67-$D$11))))</f>
        <v>0.16473268367108454</v>
      </c>
    </row>
    <row r="83" spans="2:10" x14ac:dyDescent="0.3">
      <c r="B83" s="7" t="str">
        <f>'Panel Dataset'!A68</f>
        <v>Intel Corporation</v>
      </c>
      <c r="C83" s="7">
        <f>'Panel Dataset'!B68</f>
        <v>2021</v>
      </c>
      <c r="D83" s="12">
        <f>IF('Panel Dataset'!C68&gt;=$D$5,1/(1+EXP(-(LN(19)/($E$5-$D$5))*('Panel Dataset'!C68-$D$5))),1/(1+EXP(-(LN(19)/($D$5-$C$5))*('Panel Dataset'!C68-$D$5))))</f>
        <v>0.6260173342584705</v>
      </c>
      <c r="E83" s="12">
        <f>IF('Panel Dataset'!D68&gt;=$D$6,1/(1+EXP(-(LN(19)/($E$6-$D$6))*('Panel Dataset'!D68-$D$6))),1/(1+EXP(-(LN(19)/($D$6-$C$6))*('Panel Dataset'!D68-$D$6))))</f>
        <v>0.6812570705402996</v>
      </c>
      <c r="F83" s="12">
        <f>IF('Panel Dataset'!E68&gt;=$D$7,1/(1+EXP(-(LN(19)/($E$7-$D$7))*('Panel Dataset'!E68-$D$7))),1/(1+EXP(-(LN(19)/($D$7-$C$7))*('Panel Dataset'!E68-$D$7))))</f>
        <v>0.61694010362072438</v>
      </c>
      <c r="G83" s="12">
        <f>IF('Panel Dataset'!F68&gt;=$D$8,1/(1+EXP(-(LN(19)/($E$8-$D$8))*('Panel Dataset'!F68-$D$8))),1/(1+EXP(-(LN(19)/($D$8-$C$8))*('Panel Dataset'!F68-$D$8))))</f>
        <v>0.78304307574135212</v>
      </c>
      <c r="H83" s="12">
        <f>IF('Panel Dataset'!G68&gt;=$D$9,1/(1+EXP(-(LN(19)/($E$9-$D$9))*('Panel Dataset'!G68-$D$9))),1/(1+EXP(-(LN(19)/($D$9-$C$9))*('Panel Dataset'!G68-$D$9))))</f>
        <v>0.6548794039963115</v>
      </c>
      <c r="I83" s="12">
        <f>IF('Panel Dataset'!H68&gt;=$D$10,1/(1+EXP(-(LN(19)/($E$10-$D$10))*('Panel Dataset'!H68-$D$10))),1/(1+EXP(-(LN(19)/($D$10-$C$10))*('Panel Dataset'!H68-$D$10))))</f>
        <v>0.66297329374417235</v>
      </c>
      <c r="J83" s="12">
        <f>IF('Panel Dataset'!I68&gt;=$D$11,1/(1+EXP(-(LN(19)/($E$11-$D$11))*('Panel Dataset'!I68-$D$11))),1/(1+EXP(-(LN(19)/($D$11-$C$11))*('Panel Dataset'!I68-$D$11))))</f>
        <v>0.66606857375117501</v>
      </c>
    </row>
    <row r="84" spans="2:10" x14ac:dyDescent="0.3">
      <c r="B84" s="7" t="str">
        <f>'Panel Dataset'!A69</f>
        <v>Intel Corporation</v>
      </c>
      <c r="C84" s="7">
        <f>'Panel Dataset'!B69</f>
        <v>2022</v>
      </c>
      <c r="D84" s="12">
        <f>IF('Panel Dataset'!C69&gt;=$D$5,1/(1+EXP(-(LN(19)/($E$5-$D$5))*('Panel Dataset'!C69-$D$5))),1/(1+EXP(-(LN(19)/($D$5-$C$5))*('Panel Dataset'!C69-$D$5))))</f>
        <v>0.77933903558057571</v>
      </c>
      <c r="E84" s="12">
        <f>IF('Panel Dataset'!D69&gt;=$D$6,1/(1+EXP(-(LN(19)/($E$6-$D$6))*('Panel Dataset'!D69-$D$6))),1/(1+EXP(-(LN(19)/($D$6-$C$6))*('Panel Dataset'!D69-$D$6))))</f>
        <v>0.79888563499294096</v>
      </c>
      <c r="F84" s="12">
        <f>IF('Panel Dataset'!E69&gt;=$D$7,1/(1+EXP(-(LN(19)/($E$7-$D$7))*('Panel Dataset'!E69-$D$7))),1/(1+EXP(-(LN(19)/($D$7-$C$7))*('Panel Dataset'!E69-$D$7))))</f>
        <v>0.57878103148777804</v>
      </c>
      <c r="G84" s="12">
        <f>IF('Panel Dataset'!F69&gt;=$D$8,1/(1+EXP(-(LN(19)/($E$8-$D$8))*('Panel Dataset'!F69-$D$8))),1/(1+EXP(-(LN(19)/($D$8-$C$8))*('Panel Dataset'!F69-$D$8))))</f>
        <v>0.88026021722236991</v>
      </c>
      <c r="H84" s="12">
        <f>IF('Panel Dataset'!G69&gt;=$D$9,1/(1+EXP(-(LN(19)/($E$9-$D$9))*('Panel Dataset'!G69-$D$9))),1/(1+EXP(-(LN(19)/($D$9-$C$9))*('Panel Dataset'!G69-$D$9))))</f>
        <v>0.49538901836245247</v>
      </c>
      <c r="I84" s="12">
        <f>IF('Panel Dataset'!H69&gt;=$D$10,1/(1+EXP(-(LN(19)/($E$10-$D$10))*('Panel Dataset'!H69-$D$10))),1/(1+EXP(-(LN(19)/($D$10-$C$10))*('Panel Dataset'!H69-$D$10))))</f>
        <v>0.88160228057225287</v>
      </c>
      <c r="J84" s="12">
        <f>IF('Panel Dataset'!I69&gt;=$D$11,1/(1+EXP(-(LN(19)/($E$11-$D$11))*('Panel Dataset'!I69-$D$11))),1/(1+EXP(-(LN(19)/($D$11-$C$11))*('Panel Dataset'!I69-$D$11))))</f>
        <v>0.72140683161164343</v>
      </c>
    </row>
    <row r="85" spans="2:10" x14ac:dyDescent="0.3">
      <c r="B85" s="7" t="str">
        <f>'Panel Dataset'!A70</f>
        <v>Intel Corporation</v>
      </c>
      <c r="C85" s="7">
        <f>'Panel Dataset'!B70</f>
        <v>2023</v>
      </c>
      <c r="D85" s="12">
        <f>IF('Panel Dataset'!C70&gt;=$D$5,1/(1+EXP(-(LN(19)/($E$5-$D$5))*('Panel Dataset'!C70-$D$5))),1/(1+EXP(-(LN(19)/($D$5-$C$5))*('Panel Dataset'!C70-$D$5))))</f>
        <v>0.81253786986790955</v>
      </c>
      <c r="E85" s="12">
        <f>IF('Panel Dataset'!D70&gt;=$D$6,1/(1+EXP(-(LN(19)/($E$6-$D$6))*('Panel Dataset'!D70-$D$6))),1/(1+EXP(-(LN(19)/($D$6-$C$6))*('Panel Dataset'!D70-$D$6))))</f>
        <v>0.94362728974034504</v>
      </c>
      <c r="F85" s="12">
        <f>IF('Panel Dataset'!E70&gt;=$D$7,1/(1+EXP(-(LN(19)/($E$7-$D$7))*('Panel Dataset'!E70-$D$7))),1/(1+EXP(-(LN(19)/($D$7-$C$7))*('Panel Dataset'!E70-$D$7))))</f>
        <v>0.79863338266185702</v>
      </c>
      <c r="G85" s="12">
        <f>IF('Panel Dataset'!F70&gt;=$D$8,1/(1+EXP(-(LN(19)/($E$8-$D$8))*('Panel Dataset'!F70-$D$8))),1/(1+EXP(-(LN(19)/($D$8-$C$8))*('Panel Dataset'!F70-$D$8))))</f>
        <v>0.89094480498623541</v>
      </c>
      <c r="H85" s="12">
        <f>IF('Panel Dataset'!G70&gt;=$D$9,1/(1+EXP(-(LN(19)/($E$9-$D$9))*('Panel Dataset'!G70-$D$9))),1/(1+EXP(-(LN(19)/($D$9-$C$9))*('Panel Dataset'!G70-$D$9))))</f>
        <v>0.66764022437123016</v>
      </c>
      <c r="I85" s="12">
        <f>IF('Panel Dataset'!H70&gt;=$D$10,1/(1+EXP(-(LN(19)/($E$10-$D$10))*('Panel Dataset'!H70-$D$10))),1/(1+EXP(-(LN(19)/($D$10-$C$10))*('Panel Dataset'!H70-$D$10))))</f>
        <v>0.88703281825759084</v>
      </c>
      <c r="J85" s="12">
        <f>IF('Panel Dataset'!I70&gt;=$D$11,1/(1+EXP(-(LN(19)/($E$11-$D$11))*('Panel Dataset'!I70-$D$11))),1/(1+EXP(-(LN(19)/($D$11-$C$11))*('Panel Dataset'!I70-$D$11))))</f>
        <v>0.87011041011030843</v>
      </c>
    </row>
    <row r="86" spans="2:10" x14ac:dyDescent="0.3">
      <c r="B86" s="7" t="str">
        <f>'Panel Dataset'!A71</f>
        <v>Intel Corporation</v>
      </c>
      <c r="C86" s="7">
        <f>'Panel Dataset'!B71</f>
        <v>2024</v>
      </c>
      <c r="D86" s="12">
        <f>IF('Panel Dataset'!C71&gt;=$D$5,1/(1+EXP(-(LN(19)/($E$5-$D$5))*('Panel Dataset'!C71-$D$5))),1/(1+EXP(-(LN(19)/($D$5-$C$5))*('Panel Dataset'!C71-$D$5))))</f>
        <v>0.88387974828190141</v>
      </c>
      <c r="E86" s="12">
        <f>IF('Panel Dataset'!D71&gt;=$D$6,1/(1+EXP(-(LN(19)/($E$6-$D$6))*('Panel Dataset'!D71-$D$6))),1/(1+EXP(-(LN(19)/($D$6-$C$6))*('Panel Dataset'!D71-$D$6))))</f>
        <v>0.96671530127908634</v>
      </c>
      <c r="F86" s="12">
        <f>IF('Panel Dataset'!E71&gt;=$D$7,1/(1+EXP(-(LN(19)/($E$7-$D$7))*('Panel Dataset'!E71-$D$7))),1/(1+EXP(-(LN(19)/($D$7-$C$7))*('Panel Dataset'!E71-$D$7))))</f>
        <v>0.87033790566412006</v>
      </c>
      <c r="G86" s="12">
        <f>IF('Panel Dataset'!F71&gt;=$D$8,1/(1+EXP(-(LN(19)/($E$8-$D$8))*('Panel Dataset'!F71-$D$8))),1/(1+EXP(-(LN(19)/($D$8-$C$8))*('Panel Dataset'!F71-$D$8))))</f>
        <v>0.90330649467673108</v>
      </c>
      <c r="H86" s="12">
        <f>IF('Panel Dataset'!G71&gt;=$D$9,1/(1+EXP(-(LN(19)/($E$9-$D$9))*('Panel Dataset'!G71-$D$9))),1/(1+EXP(-(LN(19)/($D$9-$C$9))*('Panel Dataset'!G71-$D$9))))</f>
        <v>0.77831581787527082</v>
      </c>
      <c r="I86" s="12">
        <f>IF('Panel Dataset'!H71&gt;=$D$10,1/(1+EXP(-(LN(19)/($E$10-$D$10))*('Panel Dataset'!H71-$D$10))),1/(1+EXP(-(LN(19)/($D$10-$C$10))*('Panel Dataset'!H71-$D$10))))</f>
        <v>0.88408641509017272</v>
      </c>
      <c r="J86" s="12">
        <f>IF('Panel Dataset'!I71&gt;=$D$11,1/(1+EXP(-(LN(19)/($E$11-$D$11))*('Panel Dataset'!I71-$D$11))),1/(1+EXP(-(LN(19)/($D$11-$C$11))*('Panel Dataset'!I71-$D$11))))</f>
        <v>0.82955972518419396</v>
      </c>
    </row>
    <row r="87" spans="2:10" x14ac:dyDescent="0.3">
      <c r="B87" s="7" t="str">
        <f>'Panel Dataset'!A72</f>
        <v>KLA Corporation</v>
      </c>
      <c r="C87" s="7">
        <f>'Panel Dataset'!B72</f>
        <v>2015</v>
      </c>
      <c r="D87" s="12">
        <f>IF('Panel Dataset'!C72&gt;=$D$5,1/(1+EXP(-(LN(19)/($E$5-$D$5))*('Panel Dataset'!C72-$D$5))),1/(1+EXP(-(LN(19)/($D$5-$C$5))*('Panel Dataset'!C72-$D$5))))</f>
        <v>8.0710978041960826E-2</v>
      </c>
      <c r="E87" s="12">
        <f>IF('Panel Dataset'!D72&gt;=$D$6,1/(1+EXP(-(LN(19)/($E$6-$D$6))*('Panel Dataset'!D72-$D$6))),1/(1+EXP(-(LN(19)/($D$6-$C$6))*('Panel Dataset'!D72-$D$6))))</f>
        <v>0.10825814560244262</v>
      </c>
      <c r="F87" s="12">
        <f>IF('Panel Dataset'!E72&gt;=$D$7,1/(1+EXP(-(LN(19)/($E$7-$D$7))*('Panel Dataset'!E72-$D$7))),1/(1+EXP(-(LN(19)/($D$7-$C$7))*('Panel Dataset'!E72-$D$7))))</f>
        <v>3.3516493172345709E-2</v>
      </c>
      <c r="G87" s="12">
        <f>IF('Panel Dataset'!F72&gt;=$D$8,1/(1+EXP(-(LN(19)/($E$8-$D$8))*('Panel Dataset'!F72-$D$8))),1/(1+EXP(-(LN(19)/($D$8-$C$8))*('Panel Dataset'!F72-$D$8))))</f>
        <v>9.8283968907057984E-2</v>
      </c>
      <c r="H87" s="12">
        <f>IF('Panel Dataset'!G72&gt;=$D$9,1/(1+EXP(-(LN(19)/($E$9-$D$9))*('Panel Dataset'!G72-$D$9))),1/(1+EXP(-(LN(19)/($D$9-$C$9))*('Panel Dataset'!G72-$D$9))))</f>
        <v>4.6739986918056982E-2</v>
      </c>
      <c r="I87" s="12">
        <f>IF('Panel Dataset'!H72&gt;=$D$10,1/(1+EXP(-(LN(19)/($E$10-$D$10))*('Panel Dataset'!H72-$D$10))),1/(1+EXP(-(LN(19)/($D$10-$C$10))*('Panel Dataset'!H72-$D$10))))</f>
        <v>0.10038254268715911</v>
      </c>
      <c r="J87" s="12">
        <f>IF('Panel Dataset'!I72&gt;=$D$11,1/(1+EXP(-(LN(19)/($E$11-$D$11))*('Panel Dataset'!I72-$D$11))),1/(1+EXP(-(LN(19)/($D$11-$C$11))*('Panel Dataset'!I72-$D$11))))</f>
        <v>6.8067400173257187E-2</v>
      </c>
    </row>
    <row r="88" spans="2:10" x14ac:dyDescent="0.3">
      <c r="B88" s="7" t="str">
        <f>'Panel Dataset'!A73</f>
        <v>KLA Corporation</v>
      </c>
      <c r="C88" s="7">
        <f>'Panel Dataset'!B73</f>
        <v>2016</v>
      </c>
      <c r="D88" s="12">
        <f>IF('Panel Dataset'!C73&gt;=$D$5,1/(1+EXP(-(LN(19)/($E$5-$D$5))*('Panel Dataset'!C73-$D$5))),1/(1+EXP(-(LN(19)/($D$5-$C$5))*('Panel Dataset'!C73-$D$5))))</f>
        <v>8.0803667001799681E-2</v>
      </c>
      <c r="E88" s="12">
        <f>IF('Panel Dataset'!D73&gt;=$D$6,1/(1+EXP(-(LN(19)/($E$6-$D$6))*('Panel Dataset'!D73-$D$6))),1/(1+EXP(-(LN(19)/($D$6-$C$6))*('Panel Dataset'!D73-$D$6))))</f>
        <v>0.26717709094863756</v>
      </c>
      <c r="F88" s="12">
        <f>IF('Panel Dataset'!E73&gt;=$D$7,1/(1+EXP(-(LN(19)/($E$7-$D$7))*('Panel Dataset'!E73-$D$7))),1/(1+EXP(-(LN(19)/($D$7-$C$7))*('Panel Dataset'!E73-$D$7))))</f>
        <v>7.0623725080723801E-2</v>
      </c>
      <c r="G88" s="12">
        <f>IF('Panel Dataset'!F73&gt;=$D$8,1/(1+EXP(-(LN(19)/($E$8-$D$8))*('Panel Dataset'!F73-$D$8))),1/(1+EXP(-(LN(19)/($D$8-$C$8))*('Panel Dataset'!F73-$D$8))))</f>
        <v>7.944951944296752E-2</v>
      </c>
      <c r="H88" s="12">
        <f>IF('Panel Dataset'!G73&gt;=$D$9,1/(1+EXP(-(LN(19)/($E$9-$D$9))*('Panel Dataset'!G73-$D$9))),1/(1+EXP(-(LN(19)/($D$9-$C$9))*('Panel Dataset'!G73-$D$9))))</f>
        <v>7.5814680564232018E-2</v>
      </c>
      <c r="I88" s="12">
        <f>IF('Panel Dataset'!H73&gt;=$D$10,1/(1+EXP(-(LN(19)/($E$10-$D$10))*('Panel Dataset'!H73-$D$10))),1/(1+EXP(-(LN(19)/($D$10-$C$10))*('Panel Dataset'!H73-$D$10))))</f>
        <v>8.8198935380533527E-2</v>
      </c>
      <c r="J88" s="12">
        <f>IF('Panel Dataset'!I73&gt;=$D$11,1/(1+EXP(-(LN(19)/($E$11-$D$11))*('Panel Dataset'!I73-$D$11))),1/(1+EXP(-(LN(19)/($D$11-$C$11))*('Panel Dataset'!I73-$D$11))))</f>
        <v>0.18202772103999459</v>
      </c>
    </row>
    <row r="89" spans="2:10" x14ac:dyDescent="0.3">
      <c r="B89" s="7" t="str">
        <f>'Panel Dataset'!A74</f>
        <v>KLA Corporation</v>
      </c>
      <c r="C89" s="7">
        <f>'Panel Dataset'!B74</f>
        <v>2017</v>
      </c>
      <c r="D89" s="12">
        <f>IF('Panel Dataset'!C74&gt;=$D$5,1/(1+EXP(-(LN(19)/($E$5-$D$5))*('Panel Dataset'!C74-$D$5))),1/(1+EXP(-(LN(19)/($D$5-$C$5))*('Panel Dataset'!C74-$D$5))))</f>
        <v>9.7597100768758355E-2</v>
      </c>
      <c r="E89" s="12">
        <f>IF('Panel Dataset'!D74&gt;=$D$6,1/(1+EXP(-(LN(19)/($E$6-$D$6))*('Panel Dataset'!D74-$D$6))),1/(1+EXP(-(LN(19)/($D$6-$C$6))*('Panel Dataset'!D74-$D$6))))</f>
        <v>0.29010936182445807</v>
      </c>
      <c r="F89" s="12">
        <f>IF('Panel Dataset'!E74&gt;=$D$7,1/(1+EXP(-(LN(19)/($E$7-$D$7))*('Panel Dataset'!E74-$D$7))),1/(1+EXP(-(LN(19)/($D$7-$C$7))*('Panel Dataset'!E74-$D$7))))</f>
        <v>0.17156941919147298</v>
      </c>
      <c r="G89" s="12">
        <f>IF('Panel Dataset'!F74&gt;=$D$8,1/(1+EXP(-(LN(19)/($E$8-$D$8))*('Panel Dataset'!F74-$D$8))),1/(1+EXP(-(LN(19)/($D$8-$C$8))*('Panel Dataset'!F74-$D$8))))</f>
        <v>0.11131436983477802</v>
      </c>
      <c r="H89" s="12">
        <f>IF('Panel Dataset'!G74&gt;=$D$9,1/(1+EXP(-(LN(19)/($E$9-$D$9))*('Panel Dataset'!G74-$D$9))),1/(1+EXP(-(LN(19)/($D$9-$C$9))*('Panel Dataset'!G74-$D$9))))</f>
        <v>0.12149407933489528</v>
      </c>
      <c r="I89" s="12">
        <f>IF('Panel Dataset'!H74&gt;=$D$10,1/(1+EXP(-(LN(19)/($E$10-$D$10))*('Panel Dataset'!H74-$D$10))),1/(1+EXP(-(LN(19)/($D$10-$C$10))*('Panel Dataset'!H74-$D$10))))</f>
        <v>0.1264661210207359</v>
      </c>
      <c r="J89" s="12">
        <f>IF('Panel Dataset'!I74&gt;=$D$11,1/(1+EXP(-(LN(19)/($E$11-$D$11))*('Panel Dataset'!I74-$D$11))),1/(1+EXP(-(LN(19)/($D$11-$C$11))*('Panel Dataset'!I74-$D$11))))</f>
        <v>0.55359695001417975</v>
      </c>
    </row>
    <row r="90" spans="2:10" x14ac:dyDescent="0.3">
      <c r="B90" s="7" t="str">
        <f>'Panel Dataset'!A75</f>
        <v>KLA Corporation</v>
      </c>
      <c r="C90" s="7">
        <f>'Panel Dataset'!B75</f>
        <v>2018</v>
      </c>
      <c r="D90" s="12">
        <f>IF('Panel Dataset'!C75&gt;=$D$5,1/(1+EXP(-(LN(19)/($E$5-$D$5))*('Panel Dataset'!C75-$D$5))),1/(1+EXP(-(LN(19)/($D$5-$C$5))*('Panel Dataset'!C75-$D$5))))</f>
        <v>0.15744857723772437</v>
      </c>
      <c r="E90" s="12">
        <f>IF('Panel Dataset'!D75&gt;=$D$6,1/(1+EXP(-(LN(19)/($E$6-$D$6))*('Panel Dataset'!D75-$D$6))),1/(1+EXP(-(LN(19)/($D$6-$C$6))*('Panel Dataset'!D75-$D$6))))</f>
        <v>0.60103338755372904</v>
      </c>
      <c r="F90" s="12">
        <f>IF('Panel Dataset'!E75&gt;=$D$7,1/(1+EXP(-(LN(19)/($E$7-$D$7))*('Panel Dataset'!E75-$D$7))),1/(1+EXP(-(LN(19)/($D$7-$C$7))*('Panel Dataset'!E75-$D$7))))</f>
        <v>0.13654007384378633</v>
      </c>
      <c r="G90" s="12">
        <f>IF('Panel Dataset'!F75&gt;=$D$8,1/(1+EXP(-(LN(19)/($E$8-$D$8))*('Panel Dataset'!F75-$D$8))),1/(1+EXP(-(LN(19)/($D$8-$C$8))*('Panel Dataset'!F75-$D$8))))</f>
        <v>0.11492625970329043</v>
      </c>
      <c r="H90" s="12">
        <f>IF('Panel Dataset'!G75&gt;=$D$9,1/(1+EXP(-(LN(19)/($E$9-$D$9))*('Panel Dataset'!G75-$D$9))),1/(1+EXP(-(LN(19)/($D$9-$C$9))*('Panel Dataset'!G75-$D$9))))</f>
        <v>0.15161717875335026</v>
      </c>
      <c r="I90" s="12">
        <f>IF('Panel Dataset'!H75&gt;=$D$10,1/(1+EXP(-(LN(19)/($E$10-$D$10))*('Panel Dataset'!H75-$D$10))),1/(1+EXP(-(LN(19)/($D$10-$C$10))*('Panel Dataset'!H75-$D$10))))</f>
        <v>0.12018049834242038</v>
      </c>
      <c r="J90" s="12">
        <f>IF('Panel Dataset'!I75&gt;=$D$11,1/(1+EXP(-(LN(19)/($E$11-$D$11))*('Panel Dataset'!I75-$D$11))),1/(1+EXP(-(LN(19)/($D$11-$C$11))*('Panel Dataset'!I75-$D$11))))</f>
        <v>0.15126562125255585</v>
      </c>
    </row>
    <row r="91" spans="2:10" x14ac:dyDescent="0.3">
      <c r="B91" s="7" t="str">
        <f>'Panel Dataset'!A76</f>
        <v>KLA Corporation</v>
      </c>
      <c r="C91" s="7">
        <f>'Panel Dataset'!B76</f>
        <v>2019</v>
      </c>
      <c r="D91" s="12">
        <f>IF('Panel Dataset'!C76&gt;=$D$5,1/(1+EXP(-(LN(19)/($E$5-$D$5))*('Panel Dataset'!C76-$D$5))),1/(1+EXP(-(LN(19)/($D$5-$C$5))*('Panel Dataset'!C76-$D$5))))</f>
        <v>0.22070562894684162</v>
      </c>
      <c r="E91" s="12">
        <f>IF('Panel Dataset'!D76&gt;=$D$6,1/(1+EXP(-(LN(19)/($E$6-$D$6))*('Panel Dataset'!D76-$D$6))),1/(1+EXP(-(LN(19)/($D$6-$C$6))*('Panel Dataset'!D76-$D$6))))</f>
        <v>0.65542244438027231</v>
      </c>
      <c r="F91" s="12">
        <f>IF('Panel Dataset'!E76&gt;=$D$7,1/(1+EXP(-(LN(19)/($E$7-$D$7))*('Panel Dataset'!E76-$D$7))),1/(1+EXP(-(LN(19)/($D$7-$C$7))*('Panel Dataset'!E76-$D$7))))</f>
        <v>0.32966407505583373</v>
      </c>
      <c r="G91" s="12">
        <f>IF('Panel Dataset'!F76&gt;=$D$8,1/(1+EXP(-(LN(19)/($E$8-$D$8))*('Panel Dataset'!F76-$D$8))),1/(1+EXP(-(LN(19)/($D$8-$C$8))*('Panel Dataset'!F76-$D$8))))</f>
        <v>0.23778778014405497</v>
      </c>
      <c r="H91" s="12">
        <f>IF('Panel Dataset'!G76&gt;=$D$9,1/(1+EXP(-(LN(19)/($E$9-$D$9))*('Panel Dataset'!G76-$D$9))),1/(1+EXP(-(LN(19)/($D$9-$C$9))*('Panel Dataset'!G76-$D$9))))</f>
        <v>0.22950568384108785</v>
      </c>
      <c r="I91" s="12">
        <f>IF('Panel Dataset'!H76&gt;=$D$10,1/(1+EXP(-(LN(19)/($E$10-$D$10))*('Panel Dataset'!H76-$D$10))),1/(1+EXP(-(LN(19)/($D$10-$C$10))*('Panel Dataset'!H76-$D$10))))</f>
        <v>0.13988164119478161</v>
      </c>
      <c r="J91" s="12">
        <f>IF('Panel Dataset'!I76&gt;=$D$11,1/(1+EXP(-(LN(19)/($E$11-$D$11))*('Panel Dataset'!I76-$D$11))),1/(1+EXP(-(LN(19)/($D$11-$C$11))*('Panel Dataset'!I76-$D$11))))</f>
        <v>0.4021853573873837</v>
      </c>
    </row>
    <row r="92" spans="2:10" x14ac:dyDescent="0.3">
      <c r="B92" s="7" t="str">
        <f>'Panel Dataset'!A77</f>
        <v>KLA Corporation</v>
      </c>
      <c r="C92" s="7">
        <f>'Panel Dataset'!B77</f>
        <v>2020</v>
      </c>
      <c r="D92" s="12">
        <f>IF('Panel Dataset'!C77&gt;=$D$5,1/(1+EXP(-(LN(19)/($E$5-$D$5))*('Panel Dataset'!C77-$D$5))),1/(1+EXP(-(LN(19)/($D$5-$C$5))*('Panel Dataset'!C77-$D$5))))</f>
        <v>0.36821538492154465</v>
      </c>
      <c r="E92" s="12">
        <f>IF('Panel Dataset'!D77&gt;=$D$6,1/(1+EXP(-(LN(19)/($E$6-$D$6))*('Panel Dataset'!D77-$D$6))),1/(1+EXP(-(LN(19)/($D$6-$C$6))*('Panel Dataset'!D77-$D$6))))</f>
        <v>0.76327190805149614</v>
      </c>
      <c r="F92" s="12">
        <f>IF('Panel Dataset'!E77&gt;=$D$7,1/(1+EXP(-(LN(19)/($E$7-$D$7))*('Panel Dataset'!E77-$D$7))),1/(1+EXP(-(LN(19)/($D$7-$C$7))*('Panel Dataset'!E77-$D$7))))</f>
        <v>0.37952111334537797</v>
      </c>
      <c r="G92" s="12">
        <f>IF('Panel Dataset'!F77&gt;=$D$8,1/(1+EXP(-(LN(19)/($E$8-$D$8))*('Panel Dataset'!F77-$D$8))),1/(1+EXP(-(LN(19)/($D$8-$C$8))*('Panel Dataset'!F77-$D$8))))</f>
        <v>0.5883850050639301</v>
      </c>
      <c r="H92" s="12">
        <f>IF('Panel Dataset'!G77&gt;=$D$9,1/(1+EXP(-(LN(19)/($E$9-$D$9))*('Panel Dataset'!G77-$D$9))),1/(1+EXP(-(LN(19)/($D$9-$C$9))*('Panel Dataset'!G77-$D$9))))</f>
        <v>0.5371016502497763</v>
      </c>
      <c r="I92" s="12">
        <f>IF('Panel Dataset'!H77&gt;=$D$10,1/(1+EXP(-(LN(19)/($E$10-$D$10))*('Panel Dataset'!H77-$D$10))),1/(1+EXP(-(LN(19)/($D$10-$C$10))*('Panel Dataset'!H77-$D$10))))</f>
        <v>0.52217455439563654</v>
      </c>
      <c r="J92" s="12">
        <f>IF('Panel Dataset'!I77&gt;=$D$11,1/(1+EXP(-(LN(19)/($E$11-$D$11))*('Panel Dataset'!I77-$D$11))),1/(1+EXP(-(LN(19)/($D$11-$C$11))*('Panel Dataset'!I77-$D$11))))</f>
        <v>0.13549081798454427</v>
      </c>
    </row>
    <row r="93" spans="2:10" x14ac:dyDescent="0.3">
      <c r="B93" s="7" t="str">
        <f>'Panel Dataset'!A78</f>
        <v>KLA Corporation</v>
      </c>
      <c r="C93" s="7">
        <f>'Panel Dataset'!B78</f>
        <v>2021</v>
      </c>
      <c r="D93" s="12">
        <f>IF('Panel Dataset'!C78&gt;=$D$5,1/(1+EXP(-(LN(19)/($E$5-$D$5))*('Panel Dataset'!C78-$D$5))),1/(1+EXP(-(LN(19)/($D$5-$C$5))*('Panel Dataset'!C78-$D$5))))</f>
        <v>0.68967407270485592</v>
      </c>
      <c r="E93" s="12">
        <f>IF('Panel Dataset'!D78&gt;=$D$6,1/(1+EXP(-(LN(19)/($E$6-$D$6))*('Panel Dataset'!D78-$D$6))),1/(1+EXP(-(LN(19)/($D$6-$C$6))*('Panel Dataset'!D78-$D$6))))</f>
        <v>0.90481931718132469</v>
      </c>
      <c r="F93" s="12">
        <f>IF('Panel Dataset'!E78&gt;=$D$7,1/(1+EXP(-(LN(19)/($E$7-$D$7))*('Panel Dataset'!E78-$D$7))),1/(1+EXP(-(LN(19)/($D$7-$C$7))*('Panel Dataset'!E78-$D$7))))</f>
        <v>0.52393699847800734</v>
      </c>
      <c r="G93" s="12">
        <f>IF('Panel Dataset'!F78&gt;=$D$8,1/(1+EXP(-(LN(19)/($E$8-$D$8))*('Panel Dataset'!F78-$D$8))),1/(1+EXP(-(LN(19)/($D$8-$C$8))*('Panel Dataset'!F78-$D$8))))</f>
        <v>0.8004358373765299</v>
      </c>
      <c r="H93" s="12">
        <f>IF('Panel Dataset'!G78&gt;=$D$9,1/(1+EXP(-(LN(19)/($E$9-$D$9))*('Panel Dataset'!G78-$D$9))),1/(1+EXP(-(LN(19)/($D$9-$C$9))*('Panel Dataset'!G78-$D$9))))</f>
        <v>0.68139781096227803</v>
      </c>
      <c r="I93" s="12">
        <f>IF('Panel Dataset'!H78&gt;=$D$10,1/(1+EXP(-(LN(19)/($E$10-$D$10))*('Panel Dataset'!H78-$D$10))),1/(1+EXP(-(LN(19)/($D$10-$C$10))*('Panel Dataset'!H78-$D$10))))</f>
        <v>0.73994751078709808</v>
      </c>
      <c r="J93" s="12">
        <f>IF('Panel Dataset'!I78&gt;=$D$11,1/(1+EXP(-(LN(19)/($E$11-$D$11))*('Panel Dataset'!I78-$D$11))),1/(1+EXP(-(LN(19)/($D$11-$C$11))*('Panel Dataset'!I78-$D$11))))</f>
        <v>0.81825978448756165</v>
      </c>
    </row>
    <row r="94" spans="2:10" x14ac:dyDescent="0.3">
      <c r="B94" s="7" t="str">
        <f>'Panel Dataset'!A79</f>
        <v>KLA Corporation</v>
      </c>
      <c r="C94" s="7">
        <f>'Panel Dataset'!B79</f>
        <v>2022</v>
      </c>
      <c r="D94" s="12">
        <f>IF('Panel Dataset'!C79&gt;=$D$5,1/(1+EXP(-(LN(19)/($E$5-$D$5))*('Panel Dataset'!C79-$D$5))),1/(1+EXP(-(LN(19)/($D$5-$C$5))*('Panel Dataset'!C79-$D$5))))</f>
        <v>0.8770481001968945</v>
      </c>
      <c r="E94" s="12">
        <f>IF('Panel Dataset'!D79&gt;=$D$6,1/(1+EXP(-(LN(19)/($E$6-$D$6))*('Panel Dataset'!D79-$D$6))),1/(1+EXP(-(LN(19)/($D$6-$C$6))*('Panel Dataset'!D79-$D$6))))</f>
        <v>0.94820805875499425</v>
      </c>
      <c r="F94" s="12">
        <f>IF('Panel Dataset'!E79&gt;=$D$7,1/(1+EXP(-(LN(19)/($E$7-$D$7))*('Panel Dataset'!E79-$D$7))),1/(1+EXP(-(LN(19)/($D$7-$C$7))*('Panel Dataset'!E79-$D$7))))</f>
        <v>0.7728906053019422</v>
      </c>
      <c r="G94" s="12">
        <f>IF('Panel Dataset'!F79&gt;=$D$8,1/(1+EXP(-(LN(19)/($E$8-$D$8))*('Panel Dataset'!F79-$D$8))),1/(1+EXP(-(LN(19)/($D$8-$C$8))*('Panel Dataset'!F79-$D$8))))</f>
        <v>0.85401583447161289</v>
      </c>
      <c r="H94" s="12">
        <f>IF('Panel Dataset'!G79&gt;=$D$9,1/(1+EXP(-(LN(19)/($E$9-$D$9))*('Panel Dataset'!G79-$D$9))),1/(1+EXP(-(LN(19)/($D$9-$C$9))*('Panel Dataset'!G79-$D$9))))</f>
        <v>0.61574670234385109</v>
      </c>
      <c r="I94" s="12">
        <f>IF('Panel Dataset'!H79&gt;=$D$10,1/(1+EXP(-(LN(19)/($E$10-$D$10))*('Panel Dataset'!H79-$D$10))),1/(1+EXP(-(LN(19)/($D$10-$C$10))*('Panel Dataset'!H79-$D$10))))</f>
        <v>0.8946514769760141</v>
      </c>
      <c r="J94" s="12">
        <f>IF('Panel Dataset'!I79&gt;=$D$11,1/(1+EXP(-(LN(19)/($E$11-$D$11))*('Panel Dataset'!I79-$D$11))),1/(1+EXP(-(LN(19)/($D$11-$C$11))*('Panel Dataset'!I79-$D$11))))</f>
        <v>0.84133696855030737</v>
      </c>
    </row>
    <row r="95" spans="2:10" x14ac:dyDescent="0.3">
      <c r="B95" s="7" t="str">
        <f>'Panel Dataset'!A80</f>
        <v>KLA Corporation</v>
      </c>
      <c r="C95" s="7">
        <f>'Panel Dataset'!B80</f>
        <v>2023</v>
      </c>
      <c r="D95" s="12">
        <f>IF('Panel Dataset'!C80&gt;=$D$5,1/(1+EXP(-(LN(19)/($E$5-$D$5))*('Panel Dataset'!C80-$D$5))),1/(1+EXP(-(LN(19)/($D$5-$C$5))*('Panel Dataset'!C80-$D$5))))</f>
        <v>0.8563098780177637</v>
      </c>
      <c r="E95" s="12">
        <f>IF('Panel Dataset'!D80&gt;=$D$6,1/(1+EXP(-(LN(19)/($E$6-$D$6))*('Panel Dataset'!D80-$D$6))),1/(1+EXP(-(LN(19)/($D$6-$C$6))*('Panel Dataset'!D80-$D$6))))</f>
        <v>0.98407166474171825</v>
      </c>
      <c r="F95" s="12">
        <f>IF('Panel Dataset'!E80&gt;=$D$7,1/(1+EXP(-(LN(19)/($E$7-$D$7))*('Panel Dataset'!E80-$D$7))),1/(1+EXP(-(LN(19)/($D$7-$C$7))*('Panel Dataset'!E80-$D$7))))</f>
        <v>0.83881973065836624</v>
      </c>
      <c r="G95" s="12">
        <f>IF('Panel Dataset'!F80&gt;=$D$8,1/(1+EXP(-(LN(19)/($E$8-$D$8))*('Panel Dataset'!F80-$D$8))),1/(1+EXP(-(LN(19)/($D$8-$C$8))*('Panel Dataset'!F80-$D$8))))</f>
        <v>0.88789221826850584</v>
      </c>
      <c r="H95" s="12">
        <f>IF('Panel Dataset'!G80&gt;=$D$9,1/(1+EXP(-(LN(19)/($E$9-$D$9))*('Panel Dataset'!G80-$D$9))),1/(1+EXP(-(LN(19)/($D$9-$C$9))*('Panel Dataset'!G80-$D$9))))</f>
        <v>0.76287706231019914</v>
      </c>
      <c r="I95" s="12">
        <f>IF('Panel Dataset'!H80&gt;=$D$10,1/(1+EXP(-(LN(19)/($E$10-$D$10))*('Panel Dataset'!H80-$D$10))),1/(1+EXP(-(LN(19)/($D$10-$C$10))*('Panel Dataset'!H80-$D$10))))</f>
        <v>0.903479447729164</v>
      </c>
      <c r="J95" s="12">
        <f>IF('Panel Dataset'!I80&gt;=$D$11,1/(1+EXP(-(LN(19)/($E$11-$D$11))*('Panel Dataset'!I80-$D$11))),1/(1+EXP(-(LN(19)/($D$11-$C$11))*('Panel Dataset'!I80-$D$11))))</f>
        <v>0.95381057687583159</v>
      </c>
    </row>
    <row r="96" spans="2:10" x14ac:dyDescent="0.3">
      <c r="B96" s="7" t="str">
        <f>'Panel Dataset'!A81</f>
        <v>KLA Corporation</v>
      </c>
      <c r="C96" s="7">
        <f>'Panel Dataset'!B81</f>
        <v>2024</v>
      </c>
      <c r="D96" s="12">
        <f>IF('Panel Dataset'!C81&gt;=$D$5,1/(1+EXP(-(LN(19)/($E$5-$D$5))*('Panel Dataset'!C81-$D$5))),1/(1+EXP(-(LN(19)/($D$5-$C$5))*('Panel Dataset'!C81-$D$5))))</f>
        <v>0.90076416872442977</v>
      </c>
      <c r="E96" s="12">
        <f>IF('Panel Dataset'!D81&gt;=$D$6,1/(1+EXP(-(LN(19)/($E$6-$D$6))*('Panel Dataset'!D81-$D$6))),1/(1+EXP(-(LN(19)/($D$6-$C$6))*('Panel Dataset'!D81-$D$6))))</f>
        <v>0.9830602342024729</v>
      </c>
      <c r="F96" s="12">
        <f>IF('Panel Dataset'!E81&gt;=$D$7,1/(1+EXP(-(LN(19)/($E$7-$D$7))*('Panel Dataset'!E81-$D$7))),1/(1+EXP(-(LN(19)/($D$7-$C$7))*('Panel Dataset'!E81-$D$7))))</f>
        <v>0.85705734516622423</v>
      </c>
      <c r="G96" s="12">
        <f>IF('Panel Dataset'!F81&gt;=$D$8,1/(1+EXP(-(LN(19)/($E$8-$D$8))*('Panel Dataset'!F81-$D$8))),1/(1+EXP(-(LN(19)/($D$8-$C$8))*('Panel Dataset'!F81-$D$8))))</f>
        <v>0.90308939392053633</v>
      </c>
      <c r="H96" s="12">
        <f>IF('Panel Dataset'!G81&gt;=$D$9,1/(1+EXP(-(LN(19)/($E$9-$D$9))*('Panel Dataset'!G81-$D$9))),1/(1+EXP(-(LN(19)/($D$9-$C$9))*('Panel Dataset'!G81-$D$9))))</f>
        <v>0.81370701286565683</v>
      </c>
      <c r="I96" s="12">
        <f>IF('Panel Dataset'!H81&gt;=$D$10,1/(1+EXP(-(LN(19)/($E$10-$D$10))*('Panel Dataset'!H81-$D$10))),1/(1+EXP(-(LN(19)/($D$10-$C$10))*('Panel Dataset'!H81-$D$10))))</f>
        <v>0.90336915468944312</v>
      </c>
      <c r="J96" s="12">
        <f>IF('Panel Dataset'!I81&gt;=$D$11,1/(1+EXP(-(LN(19)/($E$11-$D$11))*('Panel Dataset'!I81-$D$11))),1/(1+EXP(-(LN(19)/($D$11-$C$11))*('Panel Dataset'!I81-$D$11))))</f>
        <v>0.97021403613969825</v>
      </c>
    </row>
    <row r="97" spans="2:10" x14ac:dyDescent="0.3">
      <c r="B97" s="7" t="str">
        <f>'Panel Dataset'!A82</f>
        <v>Lam Research</v>
      </c>
      <c r="C97" s="7">
        <f>'Panel Dataset'!B82</f>
        <v>2015</v>
      </c>
      <c r="D97" s="12">
        <f>IF('Panel Dataset'!C82&gt;=$D$5,1/(1+EXP(-(LN(19)/($E$5-$D$5))*('Panel Dataset'!C82-$D$5))),1/(1+EXP(-(LN(19)/($D$5-$C$5))*('Panel Dataset'!C82-$D$5))))</f>
        <v>9.1713927278473273E-2</v>
      </c>
      <c r="E97" s="12">
        <f>IF('Panel Dataset'!D82&gt;=$D$6,1/(1+EXP(-(LN(19)/($E$6-$D$6))*('Panel Dataset'!D82-$D$6))),1/(1+EXP(-(LN(19)/($D$6-$C$6))*('Panel Dataset'!D82-$D$6))))</f>
        <v>3.6755934114276072E-2</v>
      </c>
      <c r="F97" s="12">
        <f>IF('Panel Dataset'!E82&gt;=$D$7,1/(1+EXP(-(LN(19)/($E$7-$D$7))*('Panel Dataset'!E82-$D$7))),1/(1+EXP(-(LN(19)/($D$7-$C$7))*('Panel Dataset'!E82-$D$7))))</f>
        <v>6.0557299491679623E-2</v>
      </c>
      <c r="G97" s="12">
        <f>IF('Panel Dataset'!F82&gt;=$D$8,1/(1+EXP(-(LN(19)/($E$8-$D$8))*('Panel Dataset'!F82-$D$8))),1/(1+EXP(-(LN(19)/($D$8-$C$8))*('Panel Dataset'!F82-$D$8))))</f>
        <v>0.10254512973078478</v>
      </c>
      <c r="H97" s="12">
        <f>IF('Panel Dataset'!G82&gt;=$D$9,1/(1+EXP(-(LN(19)/($E$9-$D$9))*('Panel Dataset'!G82-$D$9))),1/(1+EXP(-(LN(19)/($D$9-$C$9))*('Panel Dataset'!G82-$D$9))))</f>
        <v>5.8635175017241942E-2</v>
      </c>
      <c r="I97" s="12">
        <f>IF('Panel Dataset'!H82&gt;=$D$10,1/(1+EXP(-(LN(19)/($E$10-$D$10))*('Panel Dataset'!H82-$D$10))),1/(1+EXP(-(LN(19)/($D$10-$C$10))*('Panel Dataset'!H82-$D$10))))</f>
        <v>0.13332264568470883</v>
      </c>
      <c r="J97" s="12">
        <f>IF('Panel Dataset'!I82&gt;=$D$11,1/(1+EXP(-(LN(19)/($E$11-$D$11))*('Panel Dataset'!I82-$D$11))),1/(1+EXP(-(LN(19)/($D$11-$C$11))*('Panel Dataset'!I82-$D$11))))</f>
        <v>9.2973277958083481E-2</v>
      </c>
    </row>
    <row r="98" spans="2:10" x14ac:dyDescent="0.3">
      <c r="B98" s="7" t="str">
        <f>'Panel Dataset'!A83</f>
        <v>Lam Research</v>
      </c>
      <c r="C98" s="7">
        <f>'Panel Dataset'!B83</f>
        <v>2016</v>
      </c>
      <c r="D98" s="12">
        <f>IF('Panel Dataset'!C83&gt;=$D$5,1/(1+EXP(-(LN(19)/($E$5-$D$5))*('Panel Dataset'!C83-$D$5))),1/(1+EXP(-(LN(19)/($D$5-$C$5))*('Panel Dataset'!C83-$D$5))))</f>
        <v>0.11499830001972482</v>
      </c>
      <c r="E98" s="12">
        <f>IF('Panel Dataset'!D83&gt;=$D$6,1/(1+EXP(-(LN(19)/($E$6-$D$6))*('Panel Dataset'!D83-$D$6))),1/(1+EXP(-(LN(19)/($D$6-$C$6))*('Panel Dataset'!D83-$D$6))))</f>
        <v>8.3208583448139251E-2</v>
      </c>
      <c r="F98" s="12">
        <f>IF('Panel Dataset'!E83&gt;=$D$7,1/(1+EXP(-(LN(19)/($E$7-$D$7))*('Panel Dataset'!E83-$D$7))),1/(1+EXP(-(LN(19)/($D$7-$C$7))*('Panel Dataset'!E83-$D$7))))</f>
        <v>8.9574329627214955E-2</v>
      </c>
      <c r="G98" s="12">
        <f>IF('Panel Dataset'!F83&gt;=$D$8,1/(1+EXP(-(LN(19)/($E$8-$D$8))*('Panel Dataset'!F83-$D$8))),1/(1+EXP(-(LN(19)/($D$8-$C$8))*('Panel Dataset'!F83-$D$8))))</f>
        <v>7.2315242696881971E-2</v>
      </c>
      <c r="H98" s="12">
        <f>IF('Panel Dataset'!G83&gt;=$D$9,1/(1+EXP(-(LN(19)/($E$9-$D$9))*('Panel Dataset'!G83-$D$9))),1/(1+EXP(-(LN(19)/($D$9-$C$9))*('Panel Dataset'!G83-$D$9))))</f>
        <v>9.0708947895134534E-2</v>
      </c>
      <c r="I98" s="12">
        <f>IF('Panel Dataset'!H83&gt;=$D$10,1/(1+EXP(-(LN(19)/($E$10-$D$10))*('Panel Dataset'!H83-$D$10))),1/(1+EXP(-(LN(19)/($D$10-$C$10))*('Panel Dataset'!H83-$D$10))))</f>
        <v>0.11558029650398426</v>
      </c>
      <c r="J98" s="12">
        <f>IF('Panel Dataset'!I83&gt;=$D$11,1/(1+EXP(-(LN(19)/($E$11-$D$11))*('Panel Dataset'!I83-$D$11))),1/(1+EXP(-(LN(19)/($D$11-$C$11))*('Panel Dataset'!I83-$D$11))))</f>
        <v>0.11152105975319006</v>
      </c>
    </row>
    <row r="99" spans="2:10" x14ac:dyDescent="0.3">
      <c r="B99" s="7" t="str">
        <f>'Panel Dataset'!A84</f>
        <v>Lam Research</v>
      </c>
      <c r="C99" s="7">
        <f>'Panel Dataset'!B84</f>
        <v>2017</v>
      </c>
      <c r="D99" s="12">
        <f>IF('Panel Dataset'!C84&gt;=$D$5,1/(1+EXP(-(LN(19)/($E$5-$D$5))*('Panel Dataset'!C84-$D$5))),1/(1+EXP(-(LN(19)/($D$5-$C$5))*('Panel Dataset'!C84-$D$5))))</f>
        <v>0.13100619990085746</v>
      </c>
      <c r="E99" s="12">
        <f>IF('Panel Dataset'!D84&gt;=$D$6,1/(1+EXP(-(LN(19)/($E$6-$D$6))*('Panel Dataset'!D84-$D$6))),1/(1+EXP(-(LN(19)/($D$6-$C$6))*('Panel Dataset'!D84-$D$6))))</f>
        <v>8.433900065323037E-2</v>
      </c>
      <c r="F99" s="12">
        <f>IF('Panel Dataset'!E84&gt;=$D$7,1/(1+EXP(-(LN(19)/($E$7-$D$7))*('Panel Dataset'!E84-$D$7))),1/(1+EXP(-(LN(19)/($D$7-$C$7))*('Panel Dataset'!E84-$D$7))))</f>
        <v>0.11356833432711043</v>
      </c>
      <c r="G99" s="12">
        <f>IF('Panel Dataset'!F84&gt;=$D$8,1/(1+EXP(-(LN(19)/($E$8-$D$8))*('Panel Dataset'!F84-$D$8))),1/(1+EXP(-(LN(19)/($D$8-$C$8))*('Panel Dataset'!F84-$D$8))))</f>
        <v>0.12651568073033009</v>
      </c>
      <c r="H99" s="12">
        <f>IF('Panel Dataset'!G84&gt;=$D$9,1/(1+EXP(-(LN(19)/($E$9-$D$9))*('Panel Dataset'!G84-$D$9))),1/(1+EXP(-(LN(19)/($D$9-$C$9))*('Panel Dataset'!G84-$D$9))))</f>
        <v>0.12644344375137156</v>
      </c>
      <c r="I99" s="12">
        <f>IF('Panel Dataset'!H84&gt;=$D$10,1/(1+EXP(-(LN(19)/($E$10-$D$10))*('Panel Dataset'!H84-$D$10))),1/(1+EXP(-(LN(19)/($D$10-$C$10))*('Panel Dataset'!H84-$D$10))))</f>
        <v>0.12688566631387291</v>
      </c>
      <c r="J99" s="12">
        <f>IF('Panel Dataset'!I84&gt;=$D$11,1/(1+EXP(-(LN(19)/($E$11-$D$11))*('Panel Dataset'!I84-$D$11))),1/(1+EXP(-(LN(19)/($D$11-$C$11))*('Panel Dataset'!I84-$D$11))))</f>
        <v>0.34045733795866306</v>
      </c>
    </row>
    <row r="100" spans="2:10" x14ac:dyDescent="0.3">
      <c r="B100" s="7" t="str">
        <f>'Panel Dataset'!A85</f>
        <v>Lam Research</v>
      </c>
      <c r="C100" s="7">
        <f>'Panel Dataset'!B85</f>
        <v>2018</v>
      </c>
      <c r="D100" s="12">
        <f>IF('Panel Dataset'!C85&gt;=$D$5,1/(1+EXP(-(LN(19)/($E$5-$D$5))*('Panel Dataset'!C85-$D$5))),1/(1+EXP(-(LN(19)/($D$5-$C$5))*('Panel Dataset'!C85-$D$5))))</f>
        <v>0.18541830661801231</v>
      </c>
      <c r="E100" s="12">
        <f>IF('Panel Dataset'!D85&gt;=$D$6,1/(1+EXP(-(LN(19)/($E$6-$D$6))*('Panel Dataset'!D85-$D$6))),1/(1+EXP(-(LN(19)/($D$6-$C$6))*('Panel Dataset'!D85-$D$6))))</f>
        <v>0.16704865141053576</v>
      </c>
      <c r="F100" s="12">
        <f>IF('Panel Dataset'!E85&gt;=$D$7,1/(1+EXP(-(LN(19)/($E$7-$D$7))*('Panel Dataset'!E85-$D$7))),1/(1+EXP(-(LN(19)/($D$7-$C$7))*('Panel Dataset'!E85-$D$7))))</f>
        <v>0.28453261392832324</v>
      </c>
      <c r="G100" s="12">
        <f>IF('Panel Dataset'!F85&gt;=$D$8,1/(1+EXP(-(LN(19)/($E$8-$D$8))*('Panel Dataset'!F85-$D$8))),1/(1+EXP(-(LN(19)/($D$8-$C$8))*('Panel Dataset'!F85-$D$8))))</f>
        <v>0.12747922288247374</v>
      </c>
      <c r="H100" s="12">
        <f>IF('Panel Dataset'!G85&gt;=$D$9,1/(1+EXP(-(LN(19)/($E$9-$D$9))*('Panel Dataset'!G85-$D$9))),1/(1+EXP(-(LN(19)/($D$9-$C$9))*('Panel Dataset'!G85-$D$9))))</f>
        <v>0.19977127286918256</v>
      </c>
      <c r="I100" s="12">
        <f>IF('Panel Dataset'!H85&gt;=$D$10,1/(1+EXP(-(LN(19)/($E$10-$D$10))*('Panel Dataset'!H85-$D$10))),1/(1+EXP(-(LN(19)/($D$10-$C$10))*('Panel Dataset'!H85-$D$10))))</f>
        <v>0.11238882728959576</v>
      </c>
      <c r="J100" s="12">
        <f>IF('Panel Dataset'!I85&gt;=$D$11,1/(1+EXP(-(LN(19)/($E$11-$D$11))*('Panel Dataset'!I85-$D$11))),1/(1+EXP(-(LN(19)/($D$11-$C$11))*('Panel Dataset'!I85-$D$11))))</f>
        <v>0.2837072627097601</v>
      </c>
    </row>
    <row r="101" spans="2:10" x14ac:dyDescent="0.3">
      <c r="B101" s="7" t="str">
        <f>'Panel Dataset'!A86</f>
        <v>Lam Research</v>
      </c>
      <c r="C101" s="7">
        <f>'Panel Dataset'!B86</f>
        <v>2019</v>
      </c>
      <c r="D101" s="12">
        <f>IF('Panel Dataset'!C86&gt;=$D$5,1/(1+EXP(-(LN(19)/($E$5-$D$5))*('Panel Dataset'!C86-$D$5))),1/(1+EXP(-(LN(19)/($D$5-$C$5))*('Panel Dataset'!C86-$D$5))))</f>
        <v>0.29796243260147443</v>
      </c>
      <c r="E101" s="12">
        <f>IF('Panel Dataset'!D86&gt;=$D$6,1/(1+EXP(-(LN(19)/($E$6-$D$6))*('Panel Dataset'!D86-$D$6))),1/(1+EXP(-(LN(19)/($D$6-$C$6))*('Panel Dataset'!D86-$D$6))))</f>
        <v>0.22835303688692676</v>
      </c>
      <c r="F101" s="12">
        <f>IF('Panel Dataset'!E86&gt;=$D$7,1/(1+EXP(-(LN(19)/($E$7-$D$7))*('Panel Dataset'!E86-$D$7))),1/(1+EXP(-(LN(19)/($D$7-$C$7))*('Panel Dataset'!E86-$D$7))))</f>
        <v>0.35990664803624067</v>
      </c>
      <c r="G101" s="12">
        <f>IF('Panel Dataset'!F86&gt;=$D$8,1/(1+EXP(-(LN(19)/($E$8-$D$8))*('Panel Dataset'!F86-$D$8))),1/(1+EXP(-(LN(19)/($D$8-$C$8))*('Panel Dataset'!F86-$D$8))))</f>
        <v>0.22563378576024751</v>
      </c>
      <c r="H101" s="12">
        <f>IF('Panel Dataset'!G86&gt;=$D$9,1/(1+EXP(-(LN(19)/($E$9-$D$9))*('Panel Dataset'!G86-$D$9))),1/(1+EXP(-(LN(19)/($D$9-$C$9))*('Panel Dataset'!G86-$D$9))))</f>
        <v>0.36537667178244848</v>
      </c>
      <c r="I101" s="12">
        <f>IF('Panel Dataset'!H86&gt;=$D$10,1/(1+EXP(-(LN(19)/($E$10-$D$10))*('Panel Dataset'!H86-$D$10))),1/(1+EXP(-(LN(19)/($D$10-$C$10))*('Panel Dataset'!H86-$D$10))))</f>
        <v>0.14419475477411664</v>
      </c>
      <c r="J101" s="12">
        <f>IF('Panel Dataset'!I86&gt;=$D$11,1/(1+EXP(-(LN(19)/($E$11-$D$11))*('Panel Dataset'!I86-$D$11))),1/(1+EXP(-(LN(19)/($D$11-$C$11))*('Panel Dataset'!I86-$D$11))))</f>
        <v>0.66346427095977301</v>
      </c>
    </row>
    <row r="102" spans="2:10" x14ac:dyDescent="0.3">
      <c r="B102" s="7" t="str">
        <f>'Panel Dataset'!A87</f>
        <v>Lam Research</v>
      </c>
      <c r="C102" s="7">
        <f>'Panel Dataset'!B87</f>
        <v>2020</v>
      </c>
      <c r="D102" s="12">
        <f>IF('Panel Dataset'!C87&gt;=$D$5,1/(1+EXP(-(LN(19)/($E$5-$D$5))*('Panel Dataset'!C87-$D$5))),1/(1+EXP(-(LN(19)/($D$5-$C$5))*('Panel Dataset'!C87-$D$5))))</f>
        <v>0.51766128806230594</v>
      </c>
      <c r="E102" s="12">
        <f>IF('Panel Dataset'!D87&gt;=$D$6,1/(1+EXP(-(LN(19)/($E$6-$D$6))*('Panel Dataset'!D87-$D$6))),1/(1+EXP(-(LN(19)/($D$6-$C$6))*('Panel Dataset'!D87-$D$6))))</f>
        <v>0.3181462574839059</v>
      </c>
      <c r="F102" s="12">
        <f>IF('Panel Dataset'!E87&gt;=$D$7,1/(1+EXP(-(LN(19)/($E$7-$D$7))*('Panel Dataset'!E87-$D$7))),1/(1+EXP(-(LN(19)/($D$7-$C$7))*('Panel Dataset'!E87-$D$7))))</f>
        <v>0.58157726586057079</v>
      </c>
      <c r="G102" s="12">
        <f>IF('Panel Dataset'!F87&gt;=$D$8,1/(1+EXP(-(LN(19)/($E$8-$D$8))*('Panel Dataset'!F87-$D$8))),1/(1+EXP(-(LN(19)/($D$8-$C$8))*('Panel Dataset'!F87-$D$8))))</f>
        <v>0.50551846273960233</v>
      </c>
      <c r="H102" s="12">
        <f>IF('Panel Dataset'!G87&gt;=$D$9,1/(1+EXP(-(LN(19)/($E$9-$D$9))*('Panel Dataset'!G87-$D$9))),1/(1+EXP(-(LN(19)/($D$9-$C$9))*('Panel Dataset'!G87-$D$9))))</f>
        <v>0.69885808254282589</v>
      </c>
      <c r="I102" s="12">
        <f>IF('Panel Dataset'!H87&gt;=$D$10,1/(1+EXP(-(LN(19)/($E$10-$D$10))*('Panel Dataset'!H87-$D$10))),1/(1+EXP(-(LN(19)/($D$10-$C$10))*('Panel Dataset'!H87-$D$10))))</f>
        <v>0.33123977467003529</v>
      </c>
      <c r="J102" s="12">
        <f>IF('Panel Dataset'!I87&gt;=$D$11,1/(1+EXP(-(LN(19)/($E$11-$D$11))*('Panel Dataset'!I87-$D$11))),1/(1+EXP(-(LN(19)/($D$11-$C$11))*('Panel Dataset'!I87-$D$11))))</f>
        <v>2.9617119597281878E-2</v>
      </c>
    </row>
    <row r="103" spans="2:10" x14ac:dyDescent="0.3">
      <c r="B103" s="7" t="str">
        <f>'Panel Dataset'!A88</f>
        <v>Lam Research</v>
      </c>
      <c r="C103" s="7">
        <f>'Panel Dataset'!B88</f>
        <v>2021</v>
      </c>
      <c r="D103" s="12">
        <f>IF('Panel Dataset'!C88&gt;=$D$5,1/(1+EXP(-(LN(19)/($E$5-$D$5))*('Panel Dataset'!C88-$D$5))),1/(1+EXP(-(LN(19)/($D$5-$C$5))*('Panel Dataset'!C88-$D$5))))</f>
        <v>0.72926113939859005</v>
      </c>
      <c r="E103" s="12">
        <f>IF('Panel Dataset'!D88&gt;=$D$6,1/(1+EXP(-(LN(19)/($E$6-$D$6))*('Panel Dataset'!D88-$D$6))),1/(1+EXP(-(LN(19)/($D$6-$C$6))*('Panel Dataset'!D88-$D$6))))</f>
        <v>0.51683226807423521</v>
      </c>
      <c r="F103" s="12">
        <f>IF('Panel Dataset'!E88&gt;=$D$7,1/(1+EXP(-(LN(19)/($E$7-$D$7))*('Panel Dataset'!E88-$D$7))),1/(1+EXP(-(LN(19)/($D$7-$C$7))*('Panel Dataset'!E88-$D$7))))</f>
        <v>0.62010033623825767</v>
      </c>
      <c r="G103" s="12">
        <f>IF('Panel Dataset'!F88&gt;=$D$8,1/(1+EXP(-(LN(19)/($E$8-$D$8))*('Panel Dataset'!F88-$D$8))),1/(1+EXP(-(LN(19)/($D$8-$C$8))*('Panel Dataset'!F88-$D$8))))</f>
        <v>0.79340383493800393</v>
      </c>
      <c r="H103" s="12">
        <f>IF('Panel Dataset'!G88&gt;=$D$9,1/(1+EXP(-(LN(19)/($E$9-$D$9))*('Panel Dataset'!G88-$D$9))),1/(1+EXP(-(LN(19)/($D$9-$C$9))*('Panel Dataset'!G88-$D$9))))</f>
        <v>0.7122704725272575</v>
      </c>
      <c r="I103" s="12">
        <f>IF('Panel Dataset'!H88&gt;=$D$10,1/(1+EXP(-(LN(19)/($E$10-$D$10))*('Panel Dataset'!H88-$D$10))),1/(1+EXP(-(LN(19)/($D$10-$C$10))*('Panel Dataset'!H88-$D$10))))</f>
        <v>0.81312429932644614</v>
      </c>
      <c r="J103" s="12">
        <f>IF('Panel Dataset'!I88&gt;=$D$11,1/(1+EXP(-(LN(19)/($E$11-$D$11))*('Panel Dataset'!I88-$D$11))),1/(1+EXP(-(LN(19)/($D$11-$C$11))*('Panel Dataset'!I88-$D$11))))</f>
        <v>0.84443211790115025</v>
      </c>
    </row>
    <row r="104" spans="2:10" x14ac:dyDescent="0.3">
      <c r="B104" s="7" t="str">
        <f>'Panel Dataset'!A89</f>
        <v>Lam Research</v>
      </c>
      <c r="C104" s="7">
        <f>'Panel Dataset'!B89</f>
        <v>2022</v>
      </c>
      <c r="D104" s="12">
        <f>IF('Panel Dataset'!C89&gt;=$D$5,1/(1+EXP(-(LN(19)/($E$5-$D$5))*('Panel Dataset'!C89-$D$5))),1/(1+EXP(-(LN(19)/($D$5-$C$5))*('Panel Dataset'!C89-$D$5))))</f>
        <v>0.87878773738313887</v>
      </c>
      <c r="E104" s="12">
        <f>IF('Panel Dataset'!D89&gt;=$D$6,1/(1+EXP(-(LN(19)/($E$6-$D$6))*('Panel Dataset'!D89-$D$6))),1/(1+EXP(-(LN(19)/($D$6-$C$6))*('Panel Dataset'!D89-$D$6))))</f>
        <v>0.56916644117645265</v>
      </c>
      <c r="F104" s="12">
        <f>IF('Panel Dataset'!E89&gt;=$D$7,1/(1+EXP(-(LN(19)/($E$7-$D$7))*('Panel Dataset'!E89-$D$7))),1/(1+EXP(-(LN(19)/($D$7-$C$7))*('Panel Dataset'!E89-$D$7))))</f>
        <v>0.70925745934473949</v>
      </c>
      <c r="G104" s="12">
        <f>IF('Panel Dataset'!F89&gt;=$D$8,1/(1+EXP(-(LN(19)/($E$8-$D$8))*('Panel Dataset'!F89-$D$8))),1/(1+EXP(-(LN(19)/($D$8-$C$8))*('Panel Dataset'!F89-$D$8))))</f>
        <v>0.8959090085423782</v>
      </c>
      <c r="H104" s="12">
        <f>IF('Panel Dataset'!G89&gt;=$D$9,1/(1+EXP(-(LN(19)/($E$9-$D$9))*('Panel Dataset'!G89-$D$9))),1/(1+EXP(-(LN(19)/($D$9-$C$9))*('Panel Dataset'!G89-$D$9))))</f>
        <v>0.74274159907305315</v>
      </c>
      <c r="I104" s="12">
        <f>IF('Panel Dataset'!H89&gt;=$D$10,1/(1+EXP(-(LN(19)/($E$10-$D$10))*('Panel Dataset'!H89-$D$10))),1/(1+EXP(-(LN(19)/($D$10-$C$10))*('Panel Dataset'!H89-$D$10))))</f>
        <v>0.86732222734776487</v>
      </c>
      <c r="J104" s="12">
        <f>IF('Panel Dataset'!I89&gt;=$D$11,1/(1+EXP(-(LN(19)/($E$11-$D$11))*('Panel Dataset'!I89-$D$11))),1/(1+EXP(-(LN(19)/($D$11-$C$11))*('Panel Dataset'!I89-$D$11))))</f>
        <v>0.74943130884056286</v>
      </c>
    </row>
    <row r="105" spans="2:10" x14ac:dyDescent="0.3">
      <c r="B105" s="7" t="str">
        <f>'Panel Dataset'!A90</f>
        <v>Lam Research</v>
      </c>
      <c r="C105" s="7">
        <f>'Panel Dataset'!B90</f>
        <v>2023</v>
      </c>
      <c r="D105" s="12">
        <f>IF('Panel Dataset'!C90&gt;=$D$5,1/(1+EXP(-(LN(19)/($E$5-$D$5))*('Panel Dataset'!C90-$D$5))),1/(1+EXP(-(LN(19)/($D$5-$C$5))*('Panel Dataset'!C90-$D$5))))</f>
        <v>0.86279040619375436</v>
      </c>
      <c r="E105" s="12">
        <f>IF('Panel Dataset'!D90&gt;=$D$6,1/(1+EXP(-(LN(19)/($E$6-$D$6))*('Panel Dataset'!D90-$D$6))),1/(1+EXP(-(LN(19)/($D$6-$C$6))*('Panel Dataset'!D90-$D$6))))</f>
        <v>0.69677043444238296</v>
      </c>
      <c r="F105" s="12">
        <f>IF('Panel Dataset'!E90&gt;=$D$7,1/(1+EXP(-(LN(19)/($E$7-$D$7))*('Panel Dataset'!E90-$D$7))),1/(1+EXP(-(LN(19)/($D$7-$C$7))*('Panel Dataset'!E90-$D$7))))</f>
        <v>0.76610347571282655</v>
      </c>
      <c r="G105" s="12">
        <f>IF('Panel Dataset'!F90&gt;=$D$8,1/(1+EXP(-(LN(19)/($E$8-$D$8))*('Panel Dataset'!F90-$D$8))),1/(1+EXP(-(LN(19)/($D$8-$C$8))*('Panel Dataset'!F90-$D$8))))</f>
        <v>0.88527060297619176</v>
      </c>
      <c r="H105" s="12">
        <f>IF('Panel Dataset'!G90&gt;=$D$9,1/(1+EXP(-(LN(19)/($E$9-$D$9))*('Panel Dataset'!G90-$D$9))),1/(1+EXP(-(LN(19)/($D$9-$C$9))*('Panel Dataset'!G90-$D$9))))</f>
        <v>0.69645455570726034</v>
      </c>
      <c r="I105" s="12">
        <f>IF('Panel Dataset'!H90&gt;=$D$10,1/(1+EXP(-(LN(19)/($E$10-$D$10))*('Panel Dataset'!H90-$D$10))),1/(1+EXP(-(LN(19)/($D$10-$C$10))*('Panel Dataset'!H90-$D$10))))</f>
        <v>0.88343712057940216</v>
      </c>
      <c r="J105" s="12">
        <f>IF('Panel Dataset'!I90&gt;=$D$11,1/(1+EXP(-(LN(19)/($E$11-$D$11))*('Panel Dataset'!I90-$D$11))),1/(1+EXP(-(LN(19)/($D$11-$C$11))*('Panel Dataset'!I90-$D$11))))</f>
        <v>0.73905169747533261</v>
      </c>
    </row>
    <row r="106" spans="2:10" x14ac:dyDescent="0.3">
      <c r="B106" s="7" t="str">
        <f>'Panel Dataset'!A91</f>
        <v>Lam Research</v>
      </c>
      <c r="C106" s="7">
        <f>'Panel Dataset'!B91</f>
        <v>2024</v>
      </c>
      <c r="D106" s="12">
        <f>IF('Panel Dataset'!C91&gt;=$D$5,1/(1+EXP(-(LN(19)/($E$5-$D$5))*('Panel Dataset'!C91-$D$5))),1/(1+EXP(-(LN(19)/($D$5-$C$5))*('Panel Dataset'!C91-$D$5))))</f>
        <v>0.89159198645024296</v>
      </c>
      <c r="E106" s="12">
        <f>IF('Panel Dataset'!D91&gt;=$D$6,1/(1+EXP(-(LN(19)/($E$6-$D$6))*('Panel Dataset'!D91-$D$6))),1/(1+EXP(-(LN(19)/($D$6-$C$6))*('Panel Dataset'!D91-$D$6))))</f>
        <v>0.81879594782880438</v>
      </c>
      <c r="F106" s="12">
        <f>IF('Panel Dataset'!E91&gt;=$D$7,1/(1+EXP(-(LN(19)/($E$7-$D$7))*('Panel Dataset'!E91-$D$7))),1/(1+EXP(-(LN(19)/($D$7-$C$7))*('Panel Dataset'!E91-$D$7))))</f>
        <v>0.92889250238111565</v>
      </c>
      <c r="G106" s="12">
        <f>IF('Panel Dataset'!F91&gt;=$D$8,1/(1+EXP(-(LN(19)/($E$8-$D$8))*('Panel Dataset'!F91-$D$8))),1/(1+EXP(-(LN(19)/($D$8-$C$8))*('Panel Dataset'!F91-$D$8))))</f>
        <v>0.89625584268106262</v>
      </c>
      <c r="H106" s="12">
        <f>IF('Panel Dataset'!G91&gt;=$D$9,1/(1+EXP(-(LN(19)/($E$9-$D$9))*('Panel Dataset'!G91-$D$9))),1/(1+EXP(-(LN(19)/($D$9-$C$9))*('Panel Dataset'!G91-$D$9))))</f>
        <v>0.87028549724703519</v>
      </c>
      <c r="I106" s="12">
        <f>IF('Panel Dataset'!H91&gt;=$D$10,1/(1+EXP(-(LN(19)/($E$10-$D$10))*('Panel Dataset'!H91-$D$10))),1/(1+EXP(-(LN(19)/($D$10-$C$10))*('Panel Dataset'!H91-$D$10))))</f>
        <v>0.89747687821517586</v>
      </c>
      <c r="J106" s="12">
        <f>IF('Panel Dataset'!I91&gt;=$D$11,1/(1+EXP(-(LN(19)/($E$11-$D$11))*('Panel Dataset'!I91-$D$11))),1/(1+EXP(-(LN(19)/($D$11-$C$11))*('Panel Dataset'!I91-$D$11))))</f>
        <v>0.92064848770927532</v>
      </c>
    </row>
    <row r="107" spans="2:10" x14ac:dyDescent="0.3">
      <c r="B107" s="7" t="str">
        <f>'Panel Dataset'!A92</f>
        <v>Marvell Technology</v>
      </c>
      <c r="C107" s="7">
        <f>'Panel Dataset'!B92</f>
        <v>2015</v>
      </c>
      <c r="D107" s="12">
        <f>IF('Panel Dataset'!C92&gt;=$D$5,1/(1+EXP(-(LN(19)/($E$5-$D$5))*('Panel Dataset'!C92-$D$5))),1/(1+EXP(-(LN(19)/($D$5-$C$5))*('Panel Dataset'!C92-$D$5))))</f>
        <v>0.12351958889081191</v>
      </c>
      <c r="E107" s="12">
        <f>IF('Panel Dataset'!D92&gt;=$D$6,1/(1+EXP(-(LN(19)/($E$6-$D$6))*('Panel Dataset'!D92-$D$6))),1/(1+EXP(-(LN(19)/($D$6-$C$6))*('Panel Dataset'!D92-$D$6))))</f>
        <v>0.37244262492732733</v>
      </c>
      <c r="F107" s="12">
        <f>IF('Panel Dataset'!E92&gt;=$D$7,1/(1+EXP(-(LN(19)/($E$7-$D$7))*('Panel Dataset'!E92-$D$7))),1/(1+EXP(-(LN(19)/($D$7-$C$7))*('Panel Dataset'!E92-$D$7))))</f>
        <v>4.5063378617551886E-2</v>
      </c>
      <c r="G107" s="12">
        <f>IF('Panel Dataset'!F92&gt;=$D$8,1/(1+EXP(-(LN(19)/($E$8-$D$8))*('Panel Dataset'!F92-$D$8))),1/(1+EXP(-(LN(19)/($D$8-$C$8))*('Panel Dataset'!F92-$D$8))))</f>
        <v>0.15593631677629552</v>
      </c>
      <c r="H107" s="12">
        <f>IF('Panel Dataset'!G92&gt;=$D$9,1/(1+EXP(-(LN(19)/($E$9-$D$9))*('Panel Dataset'!G92-$D$9))),1/(1+EXP(-(LN(19)/($D$9-$C$9))*('Panel Dataset'!G92-$D$9))))</f>
        <v>0.11266353556242358</v>
      </c>
      <c r="I107" s="12">
        <f>IF('Panel Dataset'!H92&gt;=$D$10,1/(1+EXP(-(LN(19)/($E$10-$D$10))*('Panel Dataset'!H92-$D$10))),1/(1+EXP(-(LN(19)/($D$10-$C$10))*('Panel Dataset'!H92-$D$10))))</f>
        <v>0.12957048055426046</v>
      </c>
      <c r="J107" s="12">
        <f>IF('Panel Dataset'!I92&gt;=$D$11,1/(1+EXP(-(LN(19)/($E$11-$D$11))*('Panel Dataset'!I92-$D$11))),1/(1+EXP(-(LN(19)/($D$11-$C$11))*('Panel Dataset'!I92-$D$11))))</f>
        <v>5.5263074726303256E-2</v>
      </c>
    </row>
    <row r="108" spans="2:10" x14ac:dyDescent="0.3">
      <c r="B108" s="7" t="str">
        <f>'Panel Dataset'!A93</f>
        <v>Marvell Technology</v>
      </c>
      <c r="C108" s="7">
        <f>'Panel Dataset'!B93</f>
        <v>2016</v>
      </c>
      <c r="D108" s="12">
        <f>IF('Panel Dataset'!C93&gt;=$D$5,1/(1+EXP(-(LN(19)/($E$5-$D$5))*('Panel Dataset'!C93-$D$5))),1/(1+EXP(-(LN(19)/($D$5-$C$5))*('Panel Dataset'!C93-$D$5))))</f>
        <v>0.13679742813455792</v>
      </c>
      <c r="E108" s="12">
        <f>IF('Panel Dataset'!D93&gt;=$D$6,1/(1+EXP(-(LN(19)/($E$6-$D$6))*('Panel Dataset'!D93-$D$6))),1/(1+EXP(-(LN(19)/($D$6-$C$6))*('Panel Dataset'!D93-$D$6))))</f>
        <v>0.63263762972394044</v>
      </c>
      <c r="F108" s="12">
        <f>IF('Panel Dataset'!E93&gt;=$D$7,1/(1+EXP(-(LN(19)/($E$7-$D$7))*('Panel Dataset'!E93-$D$7))),1/(1+EXP(-(LN(19)/($D$7-$C$7))*('Panel Dataset'!E93-$D$7))))</f>
        <v>8.6049724890496851E-2</v>
      </c>
      <c r="G108" s="12">
        <f>IF('Panel Dataset'!F93&gt;=$D$8,1/(1+EXP(-(LN(19)/($E$8-$D$8))*('Panel Dataset'!F93-$D$8))),1/(1+EXP(-(LN(19)/($D$8-$C$8))*('Panel Dataset'!F93-$D$8))))</f>
        <v>0.13570588224013289</v>
      </c>
      <c r="H108" s="12">
        <f>IF('Panel Dataset'!G93&gt;=$D$9,1/(1+EXP(-(LN(19)/($E$9-$D$9))*('Panel Dataset'!G93-$D$9))),1/(1+EXP(-(LN(19)/($D$9-$C$9))*('Panel Dataset'!G93-$D$9))))</f>
        <v>0.14396442964388162</v>
      </c>
      <c r="I108" s="12">
        <f>IF('Panel Dataset'!H93&gt;=$D$10,1/(1+EXP(-(LN(19)/($E$10-$D$10))*('Panel Dataset'!H93-$D$10))),1/(1+EXP(-(LN(19)/($D$10-$C$10))*('Panel Dataset'!H93-$D$10))))</f>
        <v>0.10902875450517002</v>
      </c>
      <c r="J108" s="12">
        <f>IF('Panel Dataset'!I93&gt;=$D$11,1/(1+EXP(-(LN(19)/($E$11-$D$11))*('Panel Dataset'!I93-$D$11))),1/(1+EXP(-(LN(19)/($D$11-$C$11))*('Panel Dataset'!I93-$D$11))))</f>
        <v>0.26132109466498676</v>
      </c>
    </row>
    <row r="109" spans="2:10" x14ac:dyDescent="0.3">
      <c r="B109" s="7" t="str">
        <f>'Panel Dataset'!A94</f>
        <v>Marvell Technology</v>
      </c>
      <c r="C109" s="7">
        <f>'Panel Dataset'!B94</f>
        <v>2017</v>
      </c>
      <c r="D109" s="12">
        <f>IF('Panel Dataset'!C94&gt;=$D$5,1/(1+EXP(-(LN(19)/($E$5-$D$5))*('Panel Dataset'!C94-$D$5))),1/(1+EXP(-(LN(19)/($D$5-$C$5))*('Panel Dataset'!C94-$D$5))))</f>
        <v>0.13257770888395845</v>
      </c>
      <c r="E109" s="12">
        <f>IF('Panel Dataset'!D94&gt;=$D$6,1/(1+EXP(-(LN(19)/($E$6-$D$6))*('Panel Dataset'!D94-$D$6))),1/(1+EXP(-(LN(19)/($D$6-$C$6))*('Panel Dataset'!D94-$D$6))))</f>
        <v>0.70754960203091788</v>
      </c>
      <c r="F109" s="12">
        <f>IF('Panel Dataset'!E94&gt;=$D$7,1/(1+EXP(-(LN(19)/($E$7-$D$7))*('Panel Dataset'!E94-$D$7))),1/(1+EXP(-(LN(19)/($D$7-$C$7))*('Panel Dataset'!E94-$D$7))))</f>
        <v>0.2281724442972454</v>
      </c>
      <c r="G109" s="12">
        <f>IF('Panel Dataset'!F94&gt;=$D$8,1/(1+EXP(-(LN(19)/($E$8-$D$8))*('Panel Dataset'!F94-$D$8))),1/(1+EXP(-(LN(19)/($D$8-$C$8))*('Panel Dataset'!F94-$D$8))))</f>
        <v>0.13849653459535577</v>
      </c>
      <c r="H109" s="12">
        <f>IF('Panel Dataset'!G94&gt;=$D$9,1/(1+EXP(-(LN(19)/($E$9-$D$9))*('Panel Dataset'!G94-$D$9))),1/(1+EXP(-(LN(19)/($D$9-$C$9))*('Panel Dataset'!G94-$D$9))))</f>
        <v>0.20809483430436265</v>
      </c>
      <c r="I109" s="12">
        <f>IF('Panel Dataset'!H94&gt;=$D$10,1/(1+EXP(-(LN(19)/($E$10-$D$10))*('Panel Dataset'!H94-$D$10))),1/(1+EXP(-(LN(19)/($D$10-$C$10))*('Panel Dataset'!H94-$D$10))))</f>
        <v>0.13114684510753732</v>
      </c>
      <c r="J109" s="12">
        <f>IF('Panel Dataset'!I94&gt;=$D$11,1/(1+EXP(-(LN(19)/($E$11-$D$11))*('Panel Dataset'!I94-$D$11))),1/(1+EXP(-(LN(19)/($D$11-$C$11))*('Panel Dataset'!I94-$D$11))))</f>
        <v>0.19759590018783516</v>
      </c>
    </row>
    <row r="110" spans="2:10" x14ac:dyDescent="0.3">
      <c r="B110" s="7" t="str">
        <f>'Panel Dataset'!A95</f>
        <v>Marvell Technology</v>
      </c>
      <c r="C110" s="7">
        <f>'Panel Dataset'!B95</f>
        <v>2018</v>
      </c>
      <c r="D110" s="12">
        <f>IF('Panel Dataset'!C95&gt;=$D$5,1/(1+EXP(-(LN(19)/($E$5-$D$5))*('Panel Dataset'!C95-$D$5))),1/(1+EXP(-(LN(19)/($D$5-$C$5))*('Panel Dataset'!C95-$D$5))))</f>
        <v>0.17653642096148092</v>
      </c>
      <c r="E110" s="12">
        <f>IF('Panel Dataset'!D95&gt;=$D$6,1/(1+EXP(-(LN(19)/($E$6-$D$6))*('Panel Dataset'!D95-$D$6))),1/(1+EXP(-(LN(19)/($D$6-$C$6))*('Panel Dataset'!D95-$D$6))))</f>
        <v>0.80531414037713622</v>
      </c>
      <c r="F110" s="12">
        <f>IF('Panel Dataset'!E95&gt;=$D$7,1/(1+EXP(-(LN(19)/($E$7-$D$7))*('Panel Dataset'!E95-$D$7))),1/(1+EXP(-(LN(19)/($D$7-$C$7))*('Panel Dataset'!E95-$D$7))))</f>
        <v>0.2658379352069431</v>
      </c>
      <c r="G110" s="12">
        <f>IF('Panel Dataset'!F95&gt;=$D$8,1/(1+EXP(-(LN(19)/($E$8-$D$8))*('Panel Dataset'!F95-$D$8))),1/(1+EXP(-(LN(19)/($D$8-$C$8))*('Panel Dataset'!F95-$D$8))))</f>
        <v>0.13281971678087695</v>
      </c>
      <c r="H110" s="12">
        <f>IF('Panel Dataset'!G95&gt;=$D$9,1/(1+EXP(-(LN(19)/($E$9-$D$9))*('Panel Dataset'!G95-$D$9))),1/(1+EXP(-(LN(19)/($D$9-$C$9))*('Panel Dataset'!G95-$D$9))))</f>
        <v>0.46222604637342513</v>
      </c>
      <c r="I110" s="12">
        <f>IF('Panel Dataset'!H95&gt;=$D$10,1/(1+EXP(-(LN(19)/($E$10-$D$10))*('Panel Dataset'!H95-$D$10))),1/(1+EXP(-(LN(19)/($D$10-$C$10))*('Panel Dataset'!H95-$D$10))))</f>
        <v>0.17369588915906989</v>
      </c>
      <c r="J110" s="12">
        <f>IF('Panel Dataset'!I95&gt;=$D$11,1/(1+EXP(-(LN(19)/($E$11-$D$11))*('Panel Dataset'!I95-$D$11))),1/(1+EXP(-(LN(19)/($D$11-$C$11))*('Panel Dataset'!I95-$D$11))))</f>
        <v>0.42390265404197675</v>
      </c>
    </row>
    <row r="111" spans="2:10" x14ac:dyDescent="0.3">
      <c r="B111" s="7" t="str">
        <f>'Panel Dataset'!A96</f>
        <v>Marvell Technology</v>
      </c>
      <c r="C111" s="7">
        <f>'Panel Dataset'!B96</f>
        <v>2019</v>
      </c>
      <c r="D111" s="12">
        <f>IF('Panel Dataset'!C96&gt;=$D$5,1/(1+EXP(-(LN(19)/($E$5-$D$5))*('Panel Dataset'!C96-$D$5))),1/(1+EXP(-(LN(19)/($D$5-$C$5))*('Panel Dataset'!C96-$D$5))))</f>
        <v>0.29044407133055433</v>
      </c>
      <c r="E111" s="12">
        <f>IF('Panel Dataset'!D96&gt;=$D$6,1/(1+EXP(-(LN(19)/($E$6-$D$6))*('Panel Dataset'!D96-$D$6))),1/(1+EXP(-(LN(19)/($D$6-$C$6))*('Panel Dataset'!D96-$D$6))))</f>
        <v>0.86606256295770823</v>
      </c>
      <c r="F111" s="12">
        <f>IF('Panel Dataset'!E96&gt;=$D$7,1/(1+EXP(-(LN(19)/($E$7-$D$7))*('Panel Dataset'!E96-$D$7))),1/(1+EXP(-(LN(19)/($D$7-$C$7))*('Panel Dataset'!E96-$D$7))))</f>
        <v>0.39221592304107872</v>
      </c>
      <c r="G111" s="12">
        <f>IF('Panel Dataset'!F96&gt;=$D$8,1/(1+EXP(-(LN(19)/($E$8-$D$8))*('Panel Dataset'!F96-$D$8))),1/(1+EXP(-(LN(19)/($D$8-$C$8))*('Panel Dataset'!F96-$D$8))))</f>
        <v>0.25886704709571268</v>
      </c>
      <c r="H111" s="12">
        <f>IF('Panel Dataset'!G96&gt;=$D$9,1/(1+EXP(-(LN(19)/($E$9-$D$9))*('Panel Dataset'!G96-$D$9))),1/(1+EXP(-(LN(19)/($D$9-$C$9))*('Panel Dataset'!G96-$D$9))))</f>
        <v>0.52527877431756609</v>
      </c>
      <c r="I111" s="12">
        <f>IF('Panel Dataset'!H96&gt;=$D$10,1/(1+EXP(-(LN(19)/($E$10-$D$10))*('Panel Dataset'!H96-$D$10))),1/(1+EXP(-(LN(19)/($D$10-$C$10))*('Panel Dataset'!H96-$D$10))))</f>
        <v>0.24512213469891755</v>
      </c>
      <c r="J111" s="12">
        <f>IF('Panel Dataset'!I96&gt;=$D$11,1/(1+EXP(-(LN(19)/($E$11-$D$11))*('Panel Dataset'!I96-$D$11))),1/(1+EXP(-(LN(19)/($D$11-$C$11))*('Panel Dataset'!I96-$D$11))))</f>
        <v>0.32318667266951351</v>
      </c>
    </row>
    <row r="112" spans="2:10" x14ac:dyDescent="0.3">
      <c r="B112" s="7" t="str">
        <f>'Panel Dataset'!A97</f>
        <v>Marvell Technology</v>
      </c>
      <c r="C112" s="7">
        <f>'Panel Dataset'!B97</f>
        <v>2020</v>
      </c>
      <c r="D112" s="12">
        <f>IF('Panel Dataset'!C97&gt;=$D$5,1/(1+EXP(-(LN(19)/($E$5-$D$5))*('Panel Dataset'!C97-$D$5))),1/(1+EXP(-(LN(19)/($D$5-$C$5))*('Panel Dataset'!C97-$D$5))))</f>
        <v>0.55397839037156493</v>
      </c>
      <c r="E112" s="12">
        <f>IF('Panel Dataset'!D97&gt;=$D$6,1/(1+EXP(-(LN(19)/($E$6-$D$6))*('Panel Dataset'!D97-$D$6))),1/(1+EXP(-(LN(19)/($D$6-$C$6))*('Panel Dataset'!D97-$D$6))))</f>
        <v>0.92309393823999553</v>
      </c>
      <c r="F112" s="12">
        <f>IF('Panel Dataset'!E97&gt;=$D$7,1/(1+EXP(-(LN(19)/($E$7-$D$7))*('Panel Dataset'!E97-$D$7))),1/(1+EXP(-(LN(19)/($D$7-$C$7))*('Panel Dataset'!E97-$D$7))))</f>
        <v>0.41014016010572546</v>
      </c>
      <c r="G112" s="12">
        <f>IF('Panel Dataset'!F97&gt;=$D$8,1/(1+EXP(-(LN(19)/($E$8-$D$8))*('Panel Dataset'!F97-$D$8))),1/(1+EXP(-(LN(19)/($D$8-$C$8))*('Panel Dataset'!F97-$D$8))))</f>
        <v>0.50551846273960233</v>
      </c>
      <c r="H112" s="12">
        <f>IF('Panel Dataset'!G97&gt;=$D$9,1/(1+EXP(-(LN(19)/($E$9-$D$9))*('Panel Dataset'!G97-$D$9))),1/(1+EXP(-(LN(19)/($D$9-$C$9))*('Panel Dataset'!G97-$D$9))))</f>
        <v>0.79581354083411526</v>
      </c>
      <c r="I112" s="12">
        <f>IF('Panel Dataset'!H97&gt;=$D$10,1/(1+EXP(-(LN(19)/($E$10-$D$10))*('Panel Dataset'!H97-$D$10))),1/(1+EXP(-(LN(19)/($D$10-$C$10))*('Panel Dataset'!H97-$D$10))))</f>
        <v>0.53131295104592191</v>
      </c>
      <c r="J112" s="12">
        <f>IF('Panel Dataset'!I97&gt;=$D$11,1/(1+EXP(-(LN(19)/($E$11-$D$11))*('Panel Dataset'!I97-$D$11))),1/(1+EXP(-(LN(19)/($D$11-$C$11))*('Panel Dataset'!I97-$D$11))))</f>
        <v>0.42580637212244743</v>
      </c>
    </row>
    <row r="113" spans="2:10" x14ac:dyDescent="0.3">
      <c r="B113" s="7" t="str">
        <f>'Panel Dataset'!A98</f>
        <v>Marvell Technology</v>
      </c>
      <c r="C113" s="7">
        <f>'Panel Dataset'!B98</f>
        <v>2021</v>
      </c>
      <c r="D113" s="12">
        <f>IF('Panel Dataset'!C98&gt;=$D$5,1/(1+EXP(-(LN(19)/($E$5-$D$5))*('Panel Dataset'!C98-$D$5))),1/(1+EXP(-(LN(19)/($D$5-$C$5))*('Panel Dataset'!C98-$D$5))))</f>
        <v>0.77457902083606267</v>
      </c>
      <c r="E113" s="12">
        <f>IF('Panel Dataset'!D98&gt;=$D$6,1/(1+EXP(-(LN(19)/($E$6-$D$6))*('Panel Dataset'!D98-$D$6))),1/(1+EXP(-(LN(19)/($D$6-$C$6))*('Panel Dataset'!D98-$D$6))))</f>
        <v>0.9700563369481312</v>
      </c>
      <c r="F113" s="12">
        <f>IF('Panel Dataset'!E98&gt;=$D$7,1/(1+EXP(-(LN(19)/($E$7-$D$7))*('Panel Dataset'!E98-$D$7))),1/(1+EXP(-(LN(19)/($D$7-$C$7))*('Panel Dataset'!E98-$D$7))))</f>
        <v>0.64104490373796241</v>
      </c>
      <c r="G113" s="12">
        <f>IF('Panel Dataset'!F98&gt;=$D$8,1/(1+EXP(-(LN(19)/($E$8-$D$8))*('Panel Dataset'!F98-$D$8))),1/(1+EXP(-(LN(19)/($D$8-$C$8))*('Panel Dataset'!F98-$D$8))))</f>
        <v>0.87947281847322789</v>
      </c>
      <c r="H113" s="12">
        <f>IF('Panel Dataset'!G98&gt;=$D$9,1/(1+EXP(-(LN(19)/($E$9-$D$9))*('Panel Dataset'!G98-$D$9))),1/(1+EXP(-(LN(19)/($D$9-$C$9))*('Panel Dataset'!G98-$D$9))))</f>
        <v>0.93064706067221226</v>
      </c>
      <c r="I113" s="12">
        <f>IF('Panel Dataset'!H98&gt;=$D$10,1/(1+EXP(-(LN(19)/($E$10-$D$10))*('Panel Dataset'!H98-$D$10))),1/(1+EXP(-(LN(19)/($D$10-$C$10))*('Panel Dataset'!H98-$D$10))))</f>
        <v>0.78897296757499957</v>
      </c>
      <c r="J113" s="12">
        <f>IF('Panel Dataset'!I98&gt;=$D$11,1/(1+EXP(-(LN(19)/($E$11-$D$11))*('Panel Dataset'!I98-$D$11))),1/(1+EXP(-(LN(19)/($D$11-$C$11))*('Panel Dataset'!I98-$D$11))))</f>
        <v>0.94041568746061932</v>
      </c>
    </row>
    <row r="114" spans="2:10" x14ac:dyDescent="0.3">
      <c r="B114" s="7" t="str">
        <f>'Panel Dataset'!A99</f>
        <v>Marvell Technology</v>
      </c>
      <c r="C114" s="7">
        <f>'Panel Dataset'!B99</f>
        <v>2022</v>
      </c>
      <c r="D114" s="12">
        <f>IF('Panel Dataset'!C99&gt;=$D$5,1/(1+EXP(-(LN(19)/($E$5-$D$5))*('Panel Dataset'!C99-$D$5))),1/(1+EXP(-(LN(19)/($D$5-$C$5))*('Panel Dataset'!C99-$D$5))))</f>
        <v>0.88037468235428662</v>
      </c>
      <c r="E114" s="12">
        <f>IF('Panel Dataset'!D99&gt;=$D$6,1/(1+EXP(-(LN(19)/($E$6-$D$6))*('Panel Dataset'!D99-$D$6))),1/(1+EXP(-(LN(19)/($D$6-$C$6))*('Panel Dataset'!D99-$D$6))))</f>
        <v>0.98838673228704432</v>
      </c>
      <c r="F114" s="12">
        <f>IF('Panel Dataset'!E99&gt;=$D$7,1/(1+EXP(-(LN(19)/($E$7-$D$7))*('Panel Dataset'!E99-$D$7))),1/(1+EXP(-(LN(19)/($D$7-$C$7))*('Panel Dataset'!E99-$D$7))))</f>
        <v>0.79146312765671556</v>
      </c>
      <c r="G114" s="12">
        <f>IF('Panel Dataset'!F99&gt;=$D$8,1/(1+EXP(-(LN(19)/($E$8-$D$8))*('Panel Dataset'!F99-$D$8))),1/(1+EXP(-(LN(19)/($D$8-$C$8))*('Panel Dataset'!F99-$D$8))))</f>
        <v>0.95065613366655133</v>
      </c>
      <c r="H114" s="12">
        <f>IF('Panel Dataset'!G99&gt;=$D$9,1/(1+EXP(-(LN(19)/($E$9-$D$9))*('Panel Dataset'!G99-$D$9))),1/(1+EXP(-(LN(19)/($D$9-$C$9))*('Panel Dataset'!G99-$D$9))))</f>
        <v>0.83196568535302595</v>
      </c>
      <c r="I114" s="12">
        <f>IF('Panel Dataset'!H99&gt;=$D$10,1/(1+EXP(-(LN(19)/($E$10-$D$10))*('Panel Dataset'!H99-$D$10))),1/(1+EXP(-(LN(19)/($D$10-$C$10))*('Panel Dataset'!H99-$D$10))))</f>
        <v>0.88473256471632622</v>
      </c>
      <c r="J114" s="12">
        <f>IF('Panel Dataset'!I99&gt;=$D$11,1/(1+EXP(-(LN(19)/($E$11-$D$11))*('Panel Dataset'!I99-$D$11))),1/(1+EXP(-(LN(19)/($D$11-$C$11))*('Panel Dataset'!I99-$D$11))))</f>
        <v>0.89395250912967583</v>
      </c>
    </row>
    <row r="115" spans="2:10" x14ac:dyDescent="0.3">
      <c r="B115" s="7" t="str">
        <f>'Panel Dataset'!A100</f>
        <v>Marvell Technology</v>
      </c>
      <c r="C115" s="7">
        <f>'Panel Dataset'!B100</f>
        <v>2023</v>
      </c>
      <c r="D115" s="12">
        <f>IF('Panel Dataset'!C100&gt;=$D$5,1/(1+EXP(-(LN(19)/($E$5-$D$5))*('Panel Dataset'!C100-$D$5))),1/(1+EXP(-(LN(19)/($D$5-$C$5))*('Panel Dataset'!C100-$D$5))))</f>
        <v>0.93007288347070582</v>
      </c>
      <c r="E115" s="12">
        <f>IF('Panel Dataset'!D100&gt;=$D$6,1/(1+EXP(-(LN(19)/($E$6-$D$6))*('Panel Dataset'!D100-$D$6))),1/(1+EXP(-(LN(19)/($D$6-$C$6))*('Panel Dataset'!D100-$D$6))))</f>
        <v>0.99476849437439041</v>
      </c>
      <c r="F115" s="12">
        <f>IF('Panel Dataset'!E100&gt;=$D$7,1/(1+EXP(-(LN(19)/($E$7-$D$7))*('Panel Dataset'!E100-$D$7))),1/(1+EXP(-(LN(19)/($D$7-$C$7))*('Panel Dataset'!E100-$D$7))))</f>
        <v>0.87269459972177421</v>
      </c>
      <c r="G115" s="12">
        <f>IF('Panel Dataset'!F100&gt;=$D$8,1/(1+EXP(-(LN(19)/($E$8-$D$8))*('Panel Dataset'!F100-$D$8))),1/(1+EXP(-(LN(19)/($D$8-$C$8))*('Panel Dataset'!F100-$D$8))))</f>
        <v>0.95106221993455964</v>
      </c>
      <c r="H115" s="12">
        <f>IF('Panel Dataset'!G100&gt;=$D$9,1/(1+EXP(-(LN(19)/($E$9-$D$9))*('Panel Dataset'!G100-$D$9))),1/(1+EXP(-(LN(19)/($D$9-$C$9))*('Panel Dataset'!G100-$D$9))))</f>
        <v>0.90408244231223256</v>
      </c>
      <c r="I115" s="12">
        <f>IF('Panel Dataset'!H100&gt;=$D$10,1/(1+EXP(-(LN(19)/($E$10-$D$10))*('Panel Dataset'!H100-$D$10))),1/(1+EXP(-(LN(19)/($D$10-$C$10))*('Panel Dataset'!H100-$D$10))))</f>
        <v>0.92303135294331839</v>
      </c>
      <c r="J115" s="12">
        <f>IF('Panel Dataset'!I100&gt;=$D$11,1/(1+EXP(-(LN(19)/($E$11-$D$11))*('Panel Dataset'!I100-$D$11))),1/(1+EXP(-(LN(19)/($D$11-$C$11))*('Panel Dataset'!I100-$D$11))))</f>
        <v>0.98317289076978209</v>
      </c>
    </row>
    <row r="116" spans="2:10" x14ac:dyDescent="0.3">
      <c r="B116" s="7" t="str">
        <f>'Panel Dataset'!A101</f>
        <v>Marvell Technology</v>
      </c>
      <c r="C116" s="7">
        <f>'Panel Dataset'!B101</f>
        <v>2024</v>
      </c>
      <c r="D116" s="12">
        <f>IF('Panel Dataset'!C101&gt;=$D$5,1/(1+EXP(-(LN(19)/($E$5-$D$5))*('Panel Dataset'!C101-$D$5))),1/(1+EXP(-(LN(19)/($D$5-$C$5))*('Panel Dataset'!C101-$D$5))))</f>
        <v>0.94815193004899156</v>
      </c>
      <c r="E116" s="12">
        <f>IF('Panel Dataset'!D101&gt;=$D$6,1/(1+EXP(-(LN(19)/($E$6-$D$6))*('Panel Dataset'!D101-$D$6))),1/(1+EXP(-(LN(19)/($D$6-$C$6))*('Panel Dataset'!D101-$D$6))))</f>
        <v>0.99739092680474861</v>
      </c>
      <c r="F116" s="12">
        <f>IF('Panel Dataset'!E101&gt;=$D$7,1/(1+EXP(-(LN(19)/($E$7-$D$7))*('Panel Dataset'!E101-$D$7))),1/(1+EXP(-(LN(19)/($D$7-$C$7))*('Panel Dataset'!E101-$D$7))))</f>
        <v>0.89977986224719031</v>
      </c>
      <c r="G116" s="12">
        <f>IF('Panel Dataset'!F101&gt;=$D$8,1/(1+EXP(-(LN(19)/($E$8-$D$8))*('Panel Dataset'!F101-$D$8))),1/(1+EXP(-(LN(19)/($D$8-$C$8))*('Panel Dataset'!F101-$D$8))))</f>
        <v>0.9508885725764068</v>
      </c>
      <c r="H116" s="12">
        <f>IF('Panel Dataset'!G101&gt;=$D$9,1/(1+EXP(-(LN(19)/($E$9-$D$9))*('Panel Dataset'!G101-$D$9))),1/(1+EXP(-(LN(19)/($D$9-$C$9))*('Panel Dataset'!G101-$D$9))))</f>
        <v>0.94215396951636776</v>
      </c>
      <c r="I116" s="12">
        <f>IF('Panel Dataset'!H101&gt;=$D$10,1/(1+EXP(-(LN(19)/($E$10-$D$10))*('Panel Dataset'!H101-$D$10))),1/(1+EXP(-(LN(19)/($D$10-$C$10))*('Panel Dataset'!H101-$D$10))))</f>
        <v>0.89441295183355696</v>
      </c>
      <c r="J116" s="12">
        <f>IF('Panel Dataset'!I101&gt;=$D$11,1/(1+EXP(-(LN(19)/($E$11-$D$11))*('Panel Dataset'!I101-$D$11))),1/(1+EXP(-(LN(19)/($D$11-$C$11))*('Panel Dataset'!I101-$D$11))))</f>
        <v>0.97609364726400227</v>
      </c>
    </row>
    <row r="117" spans="2:10" x14ac:dyDescent="0.3">
      <c r="B117" s="7" t="str">
        <f>'Panel Dataset'!A102</f>
        <v>Microchip Technology</v>
      </c>
      <c r="C117" s="7">
        <f>'Panel Dataset'!B102</f>
        <v>2015</v>
      </c>
      <c r="D117" s="12">
        <f>IF('Panel Dataset'!C102&gt;=$D$5,1/(1+EXP(-(LN(19)/($E$5-$D$5))*('Panel Dataset'!C102-$D$5))),1/(1+EXP(-(LN(19)/($D$5-$C$5))*('Panel Dataset'!C102-$D$5))))</f>
        <v>0.15061622185622114</v>
      </c>
      <c r="E117" s="12">
        <f>IF('Panel Dataset'!D102&gt;=$D$6,1/(1+EXP(-(LN(19)/($E$6-$D$6))*('Panel Dataset'!D102-$D$6))),1/(1+EXP(-(LN(19)/($D$6-$C$6))*('Panel Dataset'!D102-$D$6))))</f>
        <v>2.2041909780874874E-2</v>
      </c>
      <c r="F117" s="12">
        <f>IF('Panel Dataset'!E102&gt;=$D$7,1/(1+EXP(-(LN(19)/($E$7-$D$7))*('Panel Dataset'!E102-$D$7))),1/(1+EXP(-(LN(19)/($D$7-$C$7))*('Panel Dataset'!E102-$D$7))))</f>
        <v>6.8762999761188659E-2</v>
      </c>
      <c r="G117" s="12">
        <f>IF('Panel Dataset'!F102&gt;=$D$8,1/(1+EXP(-(LN(19)/($E$8-$D$8))*('Panel Dataset'!F102-$D$8))),1/(1+EXP(-(LN(19)/($D$8-$C$8))*('Panel Dataset'!F102-$D$8))))</f>
        <v>0.19671579680923731</v>
      </c>
      <c r="H117" s="12">
        <f>IF('Panel Dataset'!G102&gt;=$D$9,1/(1+EXP(-(LN(19)/($E$9-$D$9))*('Panel Dataset'!G102-$D$9))),1/(1+EXP(-(LN(19)/($D$9-$C$9))*('Panel Dataset'!G102-$D$9))))</f>
        <v>0.12602449773244234</v>
      </c>
      <c r="I117" s="12">
        <f>IF('Panel Dataset'!H102&gt;=$D$10,1/(1+EXP(-(LN(19)/($E$10-$D$10))*('Panel Dataset'!H102-$D$10))),1/(1+EXP(-(LN(19)/($D$10-$C$10))*('Panel Dataset'!H102-$D$10))))</f>
        <v>0.12928560746540013</v>
      </c>
      <c r="J117" s="12">
        <f>IF('Panel Dataset'!I102&gt;=$D$11,1/(1+EXP(-(LN(19)/($E$11-$D$11))*('Panel Dataset'!I102-$D$11))),1/(1+EXP(-(LN(19)/($D$11-$C$11))*('Panel Dataset'!I102-$D$11))))</f>
        <v>0.10998647943680163</v>
      </c>
    </row>
    <row r="118" spans="2:10" x14ac:dyDescent="0.3">
      <c r="B118" s="7" t="str">
        <f>'Panel Dataset'!A103</f>
        <v>Microchip Technology</v>
      </c>
      <c r="C118" s="7">
        <f>'Panel Dataset'!B103</f>
        <v>2016</v>
      </c>
      <c r="D118" s="12">
        <f>IF('Panel Dataset'!C103&gt;=$D$5,1/(1+EXP(-(LN(19)/($E$5-$D$5))*('Panel Dataset'!C103-$D$5))),1/(1+EXP(-(LN(19)/($D$5-$C$5))*('Panel Dataset'!C103-$D$5))))</f>
        <v>0.12652430688250066</v>
      </c>
      <c r="E118" s="12">
        <f>IF('Panel Dataset'!D103&gt;=$D$6,1/(1+EXP(-(LN(19)/($E$6-$D$6))*('Panel Dataset'!D103-$D$6))),1/(1+EXP(-(LN(19)/($D$6-$C$6))*('Panel Dataset'!D103-$D$6))))</f>
        <v>4.1895588324586501E-2</v>
      </c>
      <c r="F118" s="12">
        <f>IF('Panel Dataset'!E103&gt;=$D$7,1/(1+EXP(-(LN(19)/($E$7-$D$7))*('Panel Dataset'!E103-$D$7))),1/(1+EXP(-(LN(19)/($D$7-$C$7))*('Panel Dataset'!E103-$D$7))))</f>
        <v>0.13275035819913175</v>
      </c>
      <c r="G118" s="12">
        <f>IF('Panel Dataset'!F103&gt;=$D$8,1/(1+EXP(-(LN(19)/($E$8-$D$8))*('Panel Dataset'!F103-$D$8))),1/(1+EXP(-(LN(19)/($D$8-$C$8))*('Panel Dataset'!F103-$D$8))))</f>
        <v>0.23331663539610717</v>
      </c>
      <c r="H118" s="12">
        <f>IF('Panel Dataset'!G103&gt;=$D$9,1/(1+EXP(-(LN(19)/($E$9-$D$9))*('Panel Dataset'!G103-$D$9))),1/(1+EXP(-(LN(19)/($D$9-$C$9))*('Panel Dataset'!G103-$D$9))))</f>
        <v>0.17193984623889844</v>
      </c>
      <c r="I118" s="12">
        <f>IF('Panel Dataset'!H103&gt;=$D$10,1/(1+EXP(-(LN(19)/($E$10-$D$10))*('Panel Dataset'!H103-$D$10))),1/(1+EXP(-(LN(19)/($D$10-$C$10))*('Panel Dataset'!H103-$D$10))))</f>
        <v>0.13523297530009365</v>
      </c>
      <c r="J118" s="12">
        <f>IF('Panel Dataset'!I103&gt;=$D$11,1/(1+EXP(-(LN(19)/($E$11-$D$11))*('Panel Dataset'!I103-$D$11))),1/(1+EXP(-(LN(19)/($D$11-$C$11))*('Panel Dataset'!I103-$D$11))))</f>
        <v>3.7125735532217152E-2</v>
      </c>
    </row>
    <row r="119" spans="2:10" x14ac:dyDescent="0.3">
      <c r="B119" s="7" t="str">
        <f>'Panel Dataset'!A104</f>
        <v>Microchip Technology</v>
      </c>
      <c r="C119" s="7">
        <f>'Panel Dataset'!B104</f>
        <v>2017</v>
      </c>
      <c r="D119" s="12">
        <f>IF('Panel Dataset'!C104&gt;=$D$5,1/(1+EXP(-(LN(19)/($E$5-$D$5))*('Panel Dataset'!C104-$D$5))),1/(1+EXP(-(LN(19)/($D$5-$C$5))*('Panel Dataset'!C104-$D$5))))</f>
        <v>0.20018022384573766</v>
      </c>
      <c r="E119" s="12">
        <f>IF('Panel Dataset'!D104&gt;=$D$6,1/(1+EXP(-(LN(19)/($E$6-$D$6))*('Panel Dataset'!D104-$D$6))),1/(1+EXP(-(LN(19)/($D$6-$C$6))*('Panel Dataset'!D104-$D$6))))</f>
        <v>7.3891298006233549E-2</v>
      </c>
      <c r="F119" s="12">
        <f>IF('Panel Dataset'!E104&gt;=$D$7,1/(1+EXP(-(LN(19)/($E$7-$D$7))*('Panel Dataset'!E104-$D$7))),1/(1+EXP(-(LN(19)/($D$7-$C$7))*('Panel Dataset'!E104-$D$7))))</f>
        <v>0.1770770228355395</v>
      </c>
      <c r="G119" s="12">
        <f>IF('Panel Dataset'!F104&gt;=$D$8,1/(1+EXP(-(LN(19)/($E$8-$D$8))*('Panel Dataset'!F104-$D$8))),1/(1+EXP(-(LN(19)/($D$8-$C$8))*('Panel Dataset'!F104-$D$8))))</f>
        <v>0.19848747441003675</v>
      </c>
      <c r="H119" s="12">
        <f>IF('Panel Dataset'!G104&gt;=$D$9,1/(1+EXP(-(LN(19)/($E$9-$D$9))*('Panel Dataset'!G104-$D$9))),1/(1+EXP(-(LN(19)/($D$9-$C$9))*('Panel Dataset'!G104-$D$9))))</f>
        <v>0.30902350101090414</v>
      </c>
      <c r="I119" s="12">
        <f>IF('Panel Dataset'!H104&gt;=$D$10,1/(1+EXP(-(LN(19)/($E$10-$D$10))*('Panel Dataset'!H104-$D$10))),1/(1+EXP(-(LN(19)/($D$10-$C$10))*('Panel Dataset'!H104-$D$10))))</f>
        <v>0.14295127326028598</v>
      </c>
      <c r="J119" s="12">
        <f>IF('Panel Dataset'!I104&gt;=$D$11,1/(1+EXP(-(LN(19)/($E$11-$D$11))*('Panel Dataset'!I104-$D$11))),1/(1+EXP(-(LN(19)/($D$11-$C$11))*('Panel Dataset'!I104-$D$11))))</f>
        <v>0.25982000575875241</v>
      </c>
    </row>
    <row r="120" spans="2:10" x14ac:dyDescent="0.3">
      <c r="B120" s="7" t="str">
        <f>'Panel Dataset'!A105</f>
        <v>Microchip Technology</v>
      </c>
      <c r="C120" s="7">
        <f>'Panel Dataset'!B105</f>
        <v>2018</v>
      </c>
      <c r="D120" s="12">
        <f>IF('Panel Dataset'!C105&gt;=$D$5,1/(1+EXP(-(LN(19)/($E$5-$D$5))*('Panel Dataset'!C105-$D$5))),1/(1+EXP(-(LN(19)/($D$5-$C$5))*('Panel Dataset'!C105-$D$5))))</f>
        <v>0.25672988799678553</v>
      </c>
      <c r="E120" s="12">
        <f>IF('Panel Dataset'!D105&gt;=$D$6,1/(1+EXP(-(LN(19)/($E$6-$D$6))*('Panel Dataset'!D105-$D$6))),1/(1+EXP(-(LN(19)/($D$6-$C$6))*('Panel Dataset'!D105-$D$6))))</f>
        <v>7.8912686199857932E-2</v>
      </c>
      <c r="F120" s="12">
        <f>IF('Panel Dataset'!E105&gt;=$D$7,1/(1+EXP(-(LN(19)/($E$7-$D$7))*('Panel Dataset'!E105-$D$7))),1/(1+EXP(-(LN(19)/($D$7-$C$7))*('Panel Dataset'!E105-$D$7))))</f>
        <v>0.34333278920759369</v>
      </c>
      <c r="G120" s="12">
        <f>IF('Panel Dataset'!F105&gt;=$D$8,1/(1+EXP(-(LN(19)/($E$8-$D$8))*('Panel Dataset'!F105-$D$8))),1/(1+EXP(-(LN(19)/($D$8-$C$8))*('Panel Dataset'!F105-$D$8))))</f>
        <v>0.22068357421251189</v>
      </c>
      <c r="H120" s="12">
        <f>IF('Panel Dataset'!G105&gt;=$D$9,1/(1+EXP(-(LN(19)/($E$9-$D$9))*('Panel Dataset'!G105-$D$9))),1/(1+EXP(-(LN(19)/($D$9-$C$9))*('Panel Dataset'!G105-$D$9))))</f>
        <v>0.39353977345853641</v>
      </c>
      <c r="I120" s="12">
        <f>IF('Panel Dataset'!H105&gt;=$D$10,1/(1+EXP(-(LN(19)/($E$10-$D$10))*('Panel Dataset'!H105-$D$10))),1/(1+EXP(-(LN(19)/($D$10-$C$10))*('Panel Dataset'!H105-$D$10))))</f>
        <v>0.15479912380507155</v>
      </c>
      <c r="J120" s="12">
        <f>IF('Panel Dataset'!I105&gt;=$D$11,1/(1+EXP(-(LN(19)/($E$11-$D$11))*('Panel Dataset'!I105-$D$11))),1/(1+EXP(-(LN(19)/($D$11-$C$11))*('Panel Dataset'!I105-$D$11))))</f>
        <v>0.50900525753885983</v>
      </c>
    </row>
    <row r="121" spans="2:10" x14ac:dyDescent="0.3">
      <c r="B121" s="7" t="str">
        <f>'Panel Dataset'!A106</f>
        <v>Microchip Technology</v>
      </c>
      <c r="C121" s="7">
        <f>'Panel Dataset'!B106</f>
        <v>2019</v>
      </c>
      <c r="D121" s="12">
        <f>IF('Panel Dataset'!C106&gt;=$D$5,1/(1+EXP(-(LN(19)/($E$5-$D$5))*('Panel Dataset'!C106-$D$5))),1/(1+EXP(-(LN(19)/($D$5-$C$5))*('Panel Dataset'!C106-$D$5))))</f>
        <v>0.49144931741403675</v>
      </c>
      <c r="E121" s="12">
        <f>IF('Panel Dataset'!D106&gt;=$D$6,1/(1+EXP(-(LN(19)/($E$6-$D$6))*('Panel Dataset'!D106-$D$6))),1/(1+EXP(-(LN(19)/($D$6-$C$6))*('Panel Dataset'!D106-$D$6))))</f>
        <v>7.9091285271518277E-2</v>
      </c>
      <c r="F121" s="12">
        <f>IF('Panel Dataset'!E106&gt;=$D$7,1/(1+EXP(-(LN(19)/($E$7-$D$7))*('Panel Dataset'!E106-$D$7))),1/(1+EXP(-(LN(19)/($D$7-$C$7))*('Panel Dataset'!E106-$D$7))))</f>
        <v>0.36255561277812548</v>
      </c>
      <c r="G121" s="12">
        <f>IF('Panel Dataset'!F106&gt;=$D$8,1/(1+EXP(-(LN(19)/($E$8-$D$8))*('Panel Dataset'!F106-$D$8))),1/(1+EXP(-(LN(19)/($D$8-$C$8))*('Panel Dataset'!F106-$D$8))))</f>
        <v>0.45166272670395846</v>
      </c>
      <c r="H121" s="12">
        <f>IF('Panel Dataset'!G106&gt;=$D$9,1/(1+EXP(-(LN(19)/($E$9-$D$9))*('Panel Dataset'!G106-$D$9))),1/(1+EXP(-(LN(19)/($D$9-$C$9))*('Panel Dataset'!G106-$D$9))))</f>
        <v>0.61799092734179273</v>
      </c>
      <c r="I121" s="12">
        <f>IF('Panel Dataset'!H106&gt;=$D$10,1/(1+EXP(-(LN(19)/($E$10-$D$10))*('Panel Dataset'!H106-$D$10))),1/(1+EXP(-(LN(19)/($D$10-$C$10))*('Panel Dataset'!H106-$D$10))))</f>
        <v>0.31139625290371481</v>
      </c>
      <c r="J121" s="12">
        <f>IF('Panel Dataset'!I106&gt;=$D$11,1/(1+EXP(-(LN(19)/($E$11-$D$11))*('Panel Dataset'!I106-$D$11))),1/(1+EXP(-(LN(19)/($D$11-$C$11))*('Panel Dataset'!I106-$D$11))))</f>
        <v>0.30144074187486147</v>
      </c>
    </row>
    <row r="122" spans="2:10" x14ac:dyDescent="0.3">
      <c r="B122" s="7" t="str">
        <f>'Panel Dataset'!A107</f>
        <v>Microchip Technology</v>
      </c>
      <c r="C122" s="7">
        <f>'Panel Dataset'!B107</f>
        <v>2020</v>
      </c>
      <c r="D122" s="12">
        <f>IF('Panel Dataset'!C107&gt;=$D$5,1/(1+EXP(-(LN(19)/($E$5-$D$5))*('Panel Dataset'!C107-$D$5))),1/(1+EXP(-(LN(19)/($D$5-$C$5))*('Panel Dataset'!C107-$D$5))))</f>
        <v>0.63300602394926242</v>
      </c>
      <c r="E122" s="12">
        <f>IF('Panel Dataset'!D107&gt;=$D$6,1/(1+EXP(-(LN(19)/($E$6-$D$6))*('Panel Dataset'!D107-$D$6))),1/(1+EXP(-(LN(19)/($D$6-$C$6))*('Panel Dataset'!D107-$D$6))))</f>
        <v>0.23490566340681671</v>
      </c>
      <c r="F122" s="12">
        <f>IF('Panel Dataset'!E107&gt;=$D$7,1/(1+EXP(-(LN(19)/($E$7-$D$7))*('Panel Dataset'!E107-$D$7))),1/(1+EXP(-(LN(19)/($D$7-$C$7))*('Panel Dataset'!E107-$D$7))))</f>
        <v>0.4339373834753536</v>
      </c>
      <c r="G122" s="12">
        <f>IF('Panel Dataset'!F107&gt;=$D$8,1/(1+EXP(-(LN(19)/($E$8-$D$8))*('Panel Dataset'!F107-$D$8))),1/(1+EXP(-(LN(19)/($D$8-$C$8))*('Panel Dataset'!F107-$D$8))))</f>
        <v>0.62916279648131546</v>
      </c>
      <c r="H122" s="12">
        <f>IF('Panel Dataset'!G107&gt;=$D$9,1/(1+EXP(-(LN(19)/($E$9-$D$9))*('Panel Dataset'!G107-$D$9))),1/(1+EXP(-(LN(19)/($D$9-$C$9))*('Panel Dataset'!G107-$D$9))))</f>
        <v>0.83434162371647935</v>
      </c>
      <c r="I122" s="12">
        <f>IF('Panel Dataset'!H107&gt;=$D$10,1/(1+EXP(-(LN(19)/($E$10-$D$10))*('Panel Dataset'!H107-$D$10))),1/(1+EXP(-(LN(19)/($D$10-$C$10))*('Panel Dataset'!H107-$D$10))))</f>
        <v>0.62681038913042841</v>
      </c>
      <c r="J122" s="12">
        <f>IF('Panel Dataset'!I107&gt;=$D$11,1/(1+EXP(-(LN(19)/($E$11-$D$11))*('Panel Dataset'!I107-$D$11))),1/(1+EXP(-(LN(19)/($D$11-$C$11))*('Panel Dataset'!I107-$D$11))))</f>
        <v>8.2096279833208483E-2</v>
      </c>
    </row>
    <row r="123" spans="2:10" x14ac:dyDescent="0.3">
      <c r="B123" s="7" t="str">
        <f>'Panel Dataset'!A108</f>
        <v>Microchip Technology</v>
      </c>
      <c r="C123" s="7">
        <f>'Panel Dataset'!B108</f>
        <v>2021</v>
      </c>
      <c r="D123" s="12">
        <f>IF('Panel Dataset'!C108&gt;=$D$5,1/(1+EXP(-(LN(19)/($E$5-$D$5))*('Panel Dataset'!C108-$D$5))),1/(1+EXP(-(LN(19)/($D$5-$C$5))*('Panel Dataset'!C108-$D$5))))</f>
        <v>0.78822497707409334</v>
      </c>
      <c r="E123" s="12">
        <f>IF('Panel Dataset'!D108&gt;=$D$6,1/(1+EXP(-(LN(19)/($E$6-$D$6))*('Panel Dataset'!D108-$D$6))),1/(1+EXP(-(LN(19)/($D$6-$C$6))*('Panel Dataset'!D108-$D$6))))</f>
        <v>0.26597731673311387</v>
      </c>
      <c r="F123" s="12">
        <f>IF('Panel Dataset'!E108&gt;=$D$7,1/(1+EXP(-(LN(19)/($E$7-$D$7))*('Panel Dataset'!E108-$D$7))),1/(1+EXP(-(LN(19)/($D$7-$C$7))*('Panel Dataset'!E108-$D$7))))</f>
        <v>0.68378875723553501</v>
      </c>
      <c r="G123" s="12">
        <f>IF('Panel Dataset'!F108&gt;=$D$8,1/(1+EXP(-(LN(19)/($E$8-$D$8))*('Panel Dataset'!F108-$D$8))),1/(1+EXP(-(LN(19)/($D$8-$C$8))*('Panel Dataset'!F108-$D$8))))</f>
        <v>0.87162879078341726</v>
      </c>
      <c r="H123" s="12">
        <f>IF('Panel Dataset'!G108&gt;=$D$9,1/(1+EXP(-(LN(19)/($E$9-$D$9))*('Panel Dataset'!G108-$D$9))),1/(1+EXP(-(LN(19)/($D$9-$C$9))*('Panel Dataset'!G108-$D$9))))</f>
        <v>0.83669056170136491</v>
      </c>
      <c r="I123" s="12">
        <f>IF('Panel Dataset'!H108&gt;=$D$10,1/(1+EXP(-(LN(19)/($E$10-$D$10))*('Panel Dataset'!H108-$D$10))),1/(1+EXP(-(LN(19)/($D$10-$C$10))*('Panel Dataset'!H108-$D$10))))</f>
        <v>0.87034737696385178</v>
      </c>
      <c r="J123" s="12">
        <f>IF('Panel Dataset'!I108&gt;=$D$11,1/(1+EXP(-(LN(19)/($E$11-$D$11))*('Panel Dataset'!I108-$D$11))),1/(1+EXP(-(LN(19)/($D$11-$C$11))*('Panel Dataset'!I108-$D$11))))</f>
        <v>7.504997230816457E-2</v>
      </c>
    </row>
    <row r="124" spans="2:10" x14ac:dyDescent="0.3">
      <c r="B124" s="7" t="str">
        <f>'Panel Dataset'!A109</f>
        <v>Microchip Technology</v>
      </c>
      <c r="C124" s="7">
        <f>'Panel Dataset'!B109</f>
        <v>2022</v>
      </c>
      <c r="D124" s="12">
        <f>IF('Panel Dataset'!C109&gt;=$D$5,1/(1+EXP(-(LN(19)/($E$5-$D$5))*('Panel Dataset'!C109-$D$5))),1/(1+EXP(-(LN(19)/($D$5-$C$5))*('Panel Dataset'!C109-$D$5))))</f>
        <v>0.90406251171085827</v>
      </c>
      <c r="E124" s="12">
        <f>IF('Panel Dataset'!D109&gt;=$D$6,1/(1+EXP(-(LN(19)/($E$6-$D$6))*('Panel Dataset'!D109-$D$6))),1/(1+EXP(-(LN(19)/($D$6-$C$6))*('Panel Dataset'!D109-$D$6))))</f>
        <v>0.32134964011218697</v>
      </c>
      <c r="F124" s="12">
        <f>IF('Panel Dataset'!E109&gt;=$D$7,1/(1+EXP(-(LN(19)/($E$7-$D$7))*('Panel Dataset'!E109-$D$7))),1/(1+EXP(-(LN(19)/($D$7-$C$7))*('Panel Dataset'!E109-$D$7))))</f>
        <v>0.85635268408552645</v>
      </c>
      <c r="G124" s="12">
        <f>IF('Panel Dataset'!F109&gt;=$D$8,1/(1+EXP(-(LN(19)/($E$8-$D$8))*('Panel Dataset'!F109-$D$8))),1/(1+EXP(-(LN(19)/($D$8-$C$8))*('Panel Dataset'!F109-$D$8))))</f>
        <v>0.91950546330341565</v>
      </c>
      <c r="H124" s="12">
        <f>IF('Panel Dataset'!G109&gt;=$D$9,1/(1+EXP(-(LN(19)/($E$9-$D$9))*('Panel Dataset'!G109-$D$9))),1/(1+EXP(-(LN(19)/($D$9-$C$9))*('Panel Dataset'!G109-$D$9))))</f>
        <v>0.75382925664561462</v>
      </c>
      <c r="I124" s="12">
        <f>IF('Panel Dataset'!H109&gt;=$D$10,1/(1+EXP(-(LN(19)/($E$10-$D$10))*('Panel Dataset'!H109-$D$10))),1/(1+EXP(-(LN(19)/($D$10-$C$10))*('Panel Dataset'!H109-$D$10))))</f>
        <v>0.88741227673707002</v>
      </c>
      <c r="J124" s="12">
        <f>IF('Panel Dataset'!I109&gt;=$D$11,1/(1+EXP(-(LN(19)/($E$11-$D$11))*('Panel Dataset'!I109-$D$11))),1/(1+EXP(-(LN(19)/($D$11-$C$11))*('Panel Dataset'!I109-$D$11))))</f>
        <v>0.64763346337819505</v>
      </c>
    </row>
    <row r="125" spans="2:10" x14ac:dyDescent="0.3">
      <c r="B125" s="7" t="str">
        <f>'Panel Dataset'!A110</f>
        <v>Microchip Technology</v>
      </c>
      <c r="C125" s="7">
        <f>'Panel Dataset'!B110</f>
        <v>2023</v>
      </c>
      <c r="D125" s="12">
        <f>IF('Panel Dataset'!C110&gt;=$D$5,1/(1+EXP(-(LN(19)/($E$5-$D$5))*('Panel Dataset'!C110-$D$5))),1/(1+EXP(-(LN(19)/($D$5-$C$5))*('Panel Dataset'!C110-$D$5))))</f>
        <v>0.92231243115201178</v>
      </c>
      <c r="E125" s="12">
        <f>IF('Panel Dataset'!D110&gt;=$D$6,1/(1+EXP(-(LN(19)/($E$6-$D$6))*('Panel Dataset'!D110-$D$6))),1/(1+EXP(-(LN(19)/($D$6-$C$6))*('Panel Dataset'!D110-$D$6))))</f>
        <v>0.4543733355534933</v>
      </c>
      <c r="F125" s="12">
        <f>IF('Panel Dataset'!E110&gt;=$D$7,1/(1+EXP(-(LN(19)/($E$7-$D$7))*('Panel Dataset'!E110-$D$7))),1/(1+EXP(-(LN(19)/($D$7-$C$7))*('Panel Dataset'!E110-$D$7))))</f>
        <v>0.8503676013811774</v>
      </c>
      <c r="G125" s="12">
        <f>IF('Panel Dataset'!F110&gt;=$D$8,1/(1+EXP(-(LN(19)/($E$8-$D$8))*('Panel Dataset'!F110-$D$8))),1/(1+EXP(-(LN(19)/($D$8-$C$8))*('Panel Dataset'!F110-$D$8))))</f>
        <v>0.95077248320730778</v>
      </c>
      <c r="H125" s="12">
        <f>IF('Panel Dataset'!G110&gt;=$D$9,1/(1+EXP(-(LN(19)/($E$9-$D$9))*('Panel Dataset'!G110-$D$9))),1/(1+EXP(-(LN(19)/($D$9-$C$9))*('Panel Dataset'!G110-$D$9))))</f>
        <v>0.84606629463618466</v>
      </c>
      <c r="I125" s="12">
        <f>IF('Panel Dataset'!H110&gt;=$D$10,1/(1+EXP(-(LN(19)/($E$10-$D$10))*('Panel Dataset'!H110-$D$10))),1/(1+EXP(-(LN(19)/($D$10-$C$10))*('Panel Dataset'!H110-$D$10))))</f>
        <v>0.93106033528125454</v>
      </c>
      <c r="J125" s="12">
        <f>IF('Panel Dataset'!I110&gt;=$D$11,1/(1+EXP(-(LN(19)/($E$11-$D$11))*('Panel Dataset'!I110-$D$11))),1/(1+EXP(-(LN(19)/($D$11-$C$11))*('Panel Dataset'!I110-$D$11))))</f>
        <v>0.61223844913923864</v>
      </c>
    </row>
    <row r="126" spans="2:10" x14ac:dyDescent="0.3">
      <c r="B126" s="7" t="str">
        <f>'Panel Dataset'!A111</f>
        <v>Microchip Technology</v>
      </c>
      <c r="C126" s="7">
        <f>'Panel Dataset'!B111</f>
        <v>2024</v>
      </c>
      <c r="D126" s="12">
        <f>IF('Panel Dataset'!C111&gt;=$D$5,1/(1+EXP(-(LN(19)/($E$5-$D$5))*('Panel Dataset'!C111-$D$5))),1/(1+EXP(-(LN(19)/($D$5-$C$5))*('Panel Dataset'!C111-$D$5))))</f>
        <v>0.93425612554014159</v>
      </c>
      <c r="E126" s="12">
        <f>IF('Panel Dataset'!D111&gt;=$D$6,1/(1+EXP(-(LN(19)/($E$6-$D$6))*('Panel Dataset'!D111-$D$6))),1/(1+EXP(-(LN(19)/($D$6-$C$6))*('Panel Dataset'!D111-$D$6))))</f>
        <v>0.62863532104997955</v>
      </c>
      <c r="F126" s="12">
        <f>IF('Panel Dataset'!E111&gt;=$D$7,1/(1+EXP(-(LN(19)/($E$7-$D$7))*('Panel Dataset'!E111-$D$7))),1/(1+EXP(-(LN(19)/($D$7-$C$7))*('Panel Dataset'!E111-$D$7))))</f>
        <v>0.92120442663110269</v>
      </c>
      <c r="G126" s="12">
        <f>IF('Panel Dataset'!F111&gt;=$D$8,1/(1+EXP(-(LN(19)/($E$8-$D$8))*('Panel Dataset'!F111-$D$8))),1/(1+EXP(-(LN(19)/($D$8-$C$8))*('Panel Dataset'!F111-$D$8))))</f>
        <v>0.95595620750814969</v>
      </c>
      <c r="H126" s="12">
        <f>IF('Panel Dataset'!G111&gt;=$D$9,1/(1+EXP(-(LN(19)/($E$9-$D$9))*('Panel Dataset'!G111-$D$9))),1/(1+EXP(-(LN(19)/($D$9-$C$9))*('Panel Dataset'!G111-$D$9))))</f>
        <v>0.9387514970988694</v>
      </c>
      <c r="I126" s="12">
        <f>IF('Panel Dataset'!H111&gt;=$D$10,1/(1+EXP(-(LN(19)/($E$10-$D$10))*('Panel Dataset'!H111-$D$10))),1/(1+EXP(-(LN(19)/($D$10-$C$10))*('Panel Dataset'!H111-$D$10))))</f>
        <v>0.9204787524288327</v>
      </c>
      <c r="J126" s="12">
        <f>IF('Panel Dataset'!I111&gt;=$D$11,1/(1+EXP(-(LN(19)/($E$11-$D$11))*('Panel Dataset'!I111-$D$11))),1/(1+EXP(-(LN(19)/($D$11-$C$11))*('Panel Dataset'!I111-$D$11))))</f>
        <v>0.93589740986596492</v>
      </c>
    </row>
    <row r="127" spans="2:10" x14ac:dyDescent="0.3">
      <c r="B127" s="7" t="str">
        <f>'Panel Dataset'!A112</f>
        <v>Micron Technology</v>
      </c>
      <c r="C127" s="7">
        <f>'Panel Dataset'!B112</f>
        <v>2015</v>
      </c>
      <c r="D127" s="12">
        <f>IF('Panel Dataset'!C112&gt;=$D$5,1/(1+EXP(-(LN(19)/($E$5-$D$5))*('Panel Dataset'!C112-$D$5))),1/(1+EXP(-(LN(19)/($D$5-$C$5))*('Panel Dataset'!C112-$D$5))))</f>
        <v>0.16028488191452647</v>
      </c>
      <c r="E127" s="12">
        <f>IF('Panel Dataset'!D112&gt;=$D$6,1/(1+EXP(-(LN(19)/($E$6-$D$6))*('Panel Dataset'!D112-$D$6))),1/(1+EXP(-(LN(19)/($D$6-$C$6))*('Panel Dataset'!D112-$D$6))))</f>
        <v>5.5966705101775441E-2</v>
      </c>
      <c r="F127" s="12">
        <f>IF('Panel Dataset'!E112&gt;=$D$7,1/(1+EXP(-(LN(19)/($E$7-$D$7))*('Panel Dataset'!E112-$D$7))),1/(1+EXP(-(LN(19)/($D$7-$C$7))*('Panel Dataset'!E112-$D$7))))</f>
        <v>7.9936353828423748E-2</v>
      </c>
      <c r="G127" s="12">
        <f>IF('Panel Dataset'!F112&gt;=$D$8,1/(1+EXP(-(LN(19)/($E$8-$D$8))*('Panel Dataset'!F112-$D$8))),1/(1+EXP(-(LN(19)/($D$8-$C$8))*('Panel Dataset'!F112-$D$8))))</f>
        <v>0.19378958894708326</v>
      </c>
      <c r="H127" s="12">
        <f>IF('Panel Dataset'!G112&gt;=$D$9,1/(1+EXP(-(LN(19)/($E$9-$D$9))*('Panel Dataset'!G112-$D$9))),1/(1+EXP(-(LN(19)/($D$9-$C$9))*('Panel Dataset'!G112-$D$9))))</f>
        <v>0.13156423774423767</v>
      </c>
      <c r="I127" s="12">
        <f>IF('Panel Dataset'!H112&gt;=$D$10,1/(1+EXP(-(LN(19)/($E$10-$D$10))*('Panel Dataset'!H112-$D$10))),1/(1+EXP(-(LN(19)/($D$10-$C$10))*('Panel Dataset'!H112-$D$10))))</f>
        <v>0.17206904282917607</v>
      </c>
      <c r="J127" s="12">
        <f>IF('Panel Dataset'!I112&gt;=$D$11,1/(1+EXP(-(LN(19)/($E$11-$D$11))*('Panel Dataset'!I112-$D$11))),1/(1+EXP(-(LN(19)/($D$11-$C$11))*('Panel Dataset'!I112-$D$11))))</f>
        <v>9.9754869916697894E-2</v>
      </c>
    </row>
    <row r="128" spans="2:10" x14ac:dyDescent="0.3">
      <c r="B128" s="7" t="str">
        <f>'Panel Dataset'!A113</f>
        <v>Micron Technology</v>
      </c>
      <c r="C128" s="7">
        <f>'Panel Dataset'!B113</f>
        <v>2016</v>
      </c>
      <c r="D128" s="12">
        <f>IF('Panel Dataset'!C113&gt;=$D$5,1/(1+EXP(-(LN(19)/($E$5-$D$5))*('Panel Dataset'!C113-$D$5))),1/(1+EXP(-(LN(19)/($D$5-$C$5))*('Panel Dataset'!C113-$D$5))))</f>
        <v>0.13783276745396195</v>
      </c>
      <c r="E128" s="12">
        <f>IF('Panel Dataset'!D113&gt;=$D$6,1/(1+EXP(-(LN(19)/($E$6-$D$6))*('Panel Dataset'!D113-$D$6))),1/(1+EXP(-(LN(19)/($D$6-$C$6))*('Panel Dataset'!D113-$D$6))))</f>
        <v>9.8046989968363196E-2</v>
      </c>
      <c r="F128" s="12">
        <f>IF('Panel Dataset'!E113&gt;=$D$7,1/(1+EXP(-(LN(19)/($E$7-$D$7))*('Panel Dataset'!E113-$D$7))),1/(1+EXP(-(LN(19)/($D$7-$C$7))*('Panel Dataset'!E113-$D$7))))</f>
        <v>0.12376846304348742</v>
      </c>
      <c r="G128" s="12">
        <f>IF('Panel Dataset'!F113&gt;=$D$8,1/(1+EXP(-(LN(19)/($E$8-$D$8))*('Panel Dataset'!F113-$D$8))),1/(1+EXP(-(LN(19)/($D$8-$C$8))*('Panel Dataset'!F113-$D$8))))</f>
        <v>0.14345780316123483</v>
      </c>
      <c r="H128" s="12">
        <f>IF('Panel Dataset'!G113&gt;=$D$9,1/(1+EXP(-(LN(19)/($E$9-$D$9))*('Panel Dataset'!G113-$D$9))),1/(1+EXP(-(LN(19)/($D$9-$C$9))*('Panel Dataset'!G113-$D$9))))</f>
        <v>0.21092554599604255</v>
      </c>
      <c r="I128" s="12">
        <f>IF('Panel Dataset'!H113&gt;=$D$10,1/(1+EXP(-(LN(19)/($E$10-$D$10))*('Panel Dataset'!H113-$D$10))),1/(1+EXP(-(LN(19)/($D$10-$C$10))*('Panel Dataset'!H113-$D$10))))</f>
        <v>0.1226073286160459</v>
      </c>
      <c r="J128" s="12">
        <f>IF('Panel Dataset'!I113&gt;=$D$11,1/(1+EXP(-(LN(19)/($E$11-$D$11))*('Panel Dataset'!I113-$D$11))),1/(1+EXP(-(LN(19)/($D$11-$C$11))*('Panel Dataset'!I113-$D$11))))</f>
        <v>0.13965009587932836</v>
      </c>
    </row>
    <row r="129" spans="2:10" x14ac:dyDescent="0.3">
      <c r="B129" s="7" t="str">
        <f>'Panel Dataset'!A114</f>
        <v>Micron Technology</v>
      </c>
      <c r="C129" s="7">
        <f>'Panel Dataset'!B114</f>
        <v>2017</v>
      </c>
      <c r="D129" s="12">
        <f>IF('Panel Dataset'!C114&gt;=$D$5,1/(1+EXP(-(LN(19)/($E$5-$D$5))*('Panel Dataset'!C114-$D$5))),1/(1+EXP(-(LN(19)/($D$5-$C$5))*('Panel Dataset'!C114-$D$5))))</f>
        <v>0.20218678515233138</v>
      </c>
      <c r="E129" s="12">
        <f>IF('Panel Dataset'!D114&gt;=$D$6,1/(1+EXP(-(LN(19)/($E$6-$D$6))*('Panel Dataset'!D114-$D$6))),1/(1+EXP(-(LN(19)/($D$6-$C$6))*('Panel Dataset'!D114-$D$6))))</f>
        <v>9.0101947312476574E-2</v>
      </c>
      <c r="F129" s="12">
        <f>IF('Panel Dataset'!E114&gt;=$D$7,1/(1+EXP(-(LN(19)/($E$7-$D$7))*('Panel Dataset'!E114-$D$7))),1/(1+EXP(-(LN(19)/($D$7-$C$7))*('Panel Dataset'!E114-$D$7))))</f>
        <v>0.1793185931584905</v>
      </c>
      <c r="G129" s="12">
        <f>IF('Panel Dataset'!F114&gt;=$D$8,1/(1+EXP(-(LN(19)/($E$8-$D$8))*('Panel Dataset'!F114-$D$8))),1/(1+EXP(-(LN(19)/($D$8-$C$8))*('Panel Dataset'!F114-$D$8))))</f>
        <v>0.14700250154221731</v>
      </c>
      <c r="H129" s="12">
        <f>IF('Panel Dataset'!G114&gt;=$D$9,1/(1+EXP(-(LN(19)/($E$9-$D$9))*('Panel Dataset'!G114-$D$9))),1/(1+EXP(-(LN(19)/($D$9-$C$9))*('Panel Dataset'!G114-$D$9))))</f>
        <v>0.27338608563512984</v>
      </c>
      <c r="I129" s="12">
        <f>IF('Panel Dataset'!H114&gt;=$D$10,1/(1+EXP(-(LN(19)/($E$10-$D$10))*('Panel Dataset'!H114-$D$10))),1/(1+EXP(-(LN(19)/($D$10-$C$10))*('Panel Dataset'!H114-$D$10))))</f>
        <v>9.3202116630218407E-2</v>
      </c>
      <c r="J129" s="12">
        <f>IF('Panel Dataset'!I114&gt;=$D$11,1/(1+EXP(-(LN(19)/($E$11-$D$11))*('Panel Dataset'!I114-$D$11))),1/(1+EXP(-(LN(19)/($D$11-$C$11))*('Panel Dataset'!I114-$D$11))))</f>
        <v>0.14878200917316453</v>
      </c>
    </row>
    <row r="130" spans="2:10" x14ac:dyDescent="0.3">
      <c r="B130" s="7" t="str">
        <f>'Panel Dataset'!A115</f>
        <v>Micron Technology</v>
      </c>
      <c r="C130" s="7">
        <f>'Panel Dataset'!B115</f>
        <v>2018</v>
      </c>
      <c r="D130" s="12">
        <f>IF('Panel Dataset'!C115&gt;=$D$5,1/(1+EXP(-(LN(19)/($E$5-$D$5))*('Panel Dataset'!C115-$D$5))),1/(1+EXP(-(LN(19)/($D$5-$C$5))*('Panel Dataset'!C115-$D$5))))</f>
        <v>0.19503317522687841</v>
      </c>
      <c r="E130" s="12">
        <f>IF('Panel Dataset'!D115&gt;=$D$6,1/(1+EXP(-(LN(19)/($E$6-$D$6))*('Panel Dataset'!D115-$D$6))),1/(1+EXP(-(LN(19)/($D$6-$C$6))*('Panel Dataset'!D115-$D$6))))</f>
        <v>0.19177009985726626</v>
      </c>
      <c r="F130" s="12">
        <f>IF('Panel Dataset'!E115&gt;=$D$7,1/(1+EXP(-(LN(19)/($E$7-$D$7))*('Panel Dataset'!E115-$D$7))),1/(1+EXP(-(LN(19)/($D$7-$C$7))*('Panel Dataset'!E115-$D$7))))</f>
        <v>0.35070312594229291</v>
      </c>
      <c r="G130" s="12">
        <f>IF('Panel Dataset'!F115&gt;=$D$8,1/(1+EXP(-(LN(19)/($E$8-$D$8))*('Panel Dataset'!F115-$D$8))),1/(1+EXP(-(LN(19)/($D$8-$C$8))*('Panel Dataset'!F115-$D$8))))</f>
        <v>0.26802098623131887</v>
      </c>
      <c r="H130" s="12">
        <f>IF('Panel Dataset'!G115&gt;=$D$9,1/(1+EXP(-(LN(19)/($E$9-$D$9))*('Panel Dataset'!G115-$D$9))),1/(1+EXP(-(LN(19)/($D$9-$C$9))*('Panel Dataset'!G115-$D$9))))</f>
        <v>0.35010612754441955</v>
      </c>
      <c r="I130" s="12">
        <f>IF('Panel Dataset'!H115&gt;=$D$10,1/(1+EXP(-(LN(19)/($E$10-$D$10))*('Panel Dataset'!H115-$D$10))),1/(1+EXP(-(LN(19)/($D$10-$C$10))*('Panel Dataset'!H115-$D$10))))</f>
        <v>0.15200825502863013</v>
      </c>
      <c r="J130" s="12">
        <f>IF('Panel Dataset'!I115&gt;=$D$11,1/(1+EXP(-(LN(19)/($E$11-$D$11))*('Panel Dataset'!I115-$D$11))),1/(1+EXP(-(LN(19)/($D$11-$C$11))*('Panel Dataset'!I115-$D$11))))</f>
        <v>0.49342489519702964</v>
      </c>
    </row>
    <row r="131" spans="2:10" x14ac:dyDescent="0.3">
      <c r="B131" s="7" t="str">
        <f>'Panel Dataset'!A116</f>
        <v>Micron Technology</v>
      </c>
      <c r="C131" s="7">
        <f>'Panel Dataset'!B116</f>
        <v>2019</v>
      </c>
      <c r="D131" s="12">
        <f>IF('Panel Dataset'!C116&gt;=$D$5,1/(1+EXP(-(LN(19)/($E$5-$D$5))*('Panel Dataset'!C116-$D$5))),1/(1+EXP(-(LN(19)/($D$5-$C$5))*('Panel Dataset'!C116-$D$5))))</f>
        <v>0.4179078480072061</v>
      </c>
      <c r="E131" s="12">
        <f>IF('Panel Dataset'!D116&gt;=$D$6,1/(1+EXP(-(LN(19)/($E$6-$D$6))*('Panel Dataset'!D116-$D$6))),1/(1+EXP(-(LN(19)/($D$6-$C$6))*('Panel Dataset'!D116-$D$6))))</f>
        <v>0.20344330156704013</v>
      </c>
      <c r="F131" s="12">
        <f>IF('Panel Dataset'!E116&gt;=$D$7,1/(1+EXP(-(LN(19)/($E$7-$D$7))*('Panel Dataset'!E116-$D$7))),1/(1+EXP(-(LN(19)/($D$7-$C$7))*('Panel Dataset'!E116-$D$7))))</f>
        <v>0.53585219751879876</v>
      </c>
      <c r="G131" s="12">
        <f>IF('Panel Dataset'!F116&gt;=$D$8,1/(1+EXP(-(LN(19)/($E$8-$D$8))*('Panel Dataset'!F116-$D$8))),1/(1+EXP(-(LN(19)/($D$8-$C$8))*('Panel Dataset'!F116-$D$8))))</f>
        <v>0.46090288838552645</v>
      </c>
      <c r="H131" s="12">
        <f>IF('Panel Dataset'!G116&gt;=$D$9,1/(1+EXP(-(LN(19)/($E$9-$D$9))*('Panel Dataset'!G116-$D$9))),1/(1+EXP(-(LN(19)/($D$9-$C$9))*('Panel Dataset'!G116-$D$9))))</f>
        <v>0.52527877431756609</v>
      </c>
      <c r="I131" s="12">
        <f>IF('Panel Dataset'!H116&gt;=$D$10,1/(1+EXP(-(LN(19)/($E$10-$D$10))*('Panel Dataset'!H116-$D$10))),1/(1+EXP(-(LN(19)/($D$10-$C$10))*('Panel Dataset'!H116-$D$10))))</f>
        <v>0.21944404898116629</v>
      </c>
      <c r="J131" s="12">
        <f>IF('Panel Dataset'!I116&gt;=$D$11,1/(1+EXP(-(LN(19)/($E$11-$D$11))*('Panel Dataset'!I116-$D$11))),1/(1+EXP(-(LN(19)/($D$11-$C$11))*('Panel Dataset'!I116-$D$11))))</f>
        <v>0.2365734823618762</v>
      </c>
    </row>
    <row r="132" spans="2:10" x14ac:dyDescent="0.3">
      <c r="B132" s="7" t="str">
        <f>'Panel Dataset'!A117</f>
        <v>Micron Technology</v>
      </c>
      <c r="C132" s="7">
        <f>'Panel Dataset'!B117</f>
        <v>2020</v>
      </c>
      <c r="D132" s="12">
        <f>IF('Panel Dataset'!C117&gt;=$D$5,1/(1+EXP(-(LN(19)/($E$5-$D$5))*('Panel Dataset'!C117-$D$5))),1/(1+EXP(-(LN(19)/($D$5-$C$5))*('Panel Dataset'!C117-$D$5))))</f>
        <v>0.69366815034247586</v>
      </c>
      <c r="E132" s="12">
        <f>IF('Panel Dataset'!D117&gt;=$D$6,1/(1+EXP(-(LN(19)/($E$6-$D$6))*('Panel Dataset'!D117-$D$6))),1/(1+EXP(-(LN(19)/($D$6-$C$6))*('Panel Dataset'!D117-$D$6))))</f>
        <v>0.26501997451620474</v>
      </c>
      <c r="F132" s="12">
        <f>IF('Panel Dataset'!E117&gt;=$D$7,1/(1+EXP(-(LN(19)/($E$7-$D$7))*('Panel Dataset'!E117-$D$7))),1/(1+EXP(-(LN(19)/($D$7-$C$7))*('Panel Dataset'!E117-$D$7))))</f>
        <v>0.54820054531311413</v>
      </c>
      <c r="G132" s="12">
        <f>IF('Panel Dataset'!F117&gt;=$D$8,1/(1+EXP(-(LN(19)/($E$8-$D$8))*('Panel Dataset'!F117-$D$8))),1/(1+EXP(-(LN(19)/($D$8-$C$8))*('Panel Dataset'!F117-$D$8))))</f>
        <v>0.69008702606625094</v>
      </c>
      <c r="H132" s="12">
        <f>IF('Panel Dataset'!G117&gt;=$D$9,1/(1+EXP(-(LN(19)/($E$9-$D$9))*('Panel Dataset'!G117-$D$9))),1/(1+EXP(-(LN(19)/($D$9-$C$9))*('Panel Dataset'!G117-$D$9))))</f>
        <v>0.79145915610373785</v>
      </c>
      <c r="I132" s="12">
        <f>IF('Panel Dataset'!H117&gt;=$D$10,1/(1+EXP(-(LN(19)/($E$10-$D$10))*('Panel Dataset'!H117-$D$10))),1/(1+EXP(-(LN(19)/($D$10-$C$10))*('Panel Dataset'!H117-$D$10))))</f>
        <v>0.47480594045943358</v>
      </c>
      <c r="J132" s="12">
        <f>IF('Panel Dataset'!I117&gt;=$D$11,1/(1+EXP(-(LN(19)/($E$11-$D$11))*('Panel Dataset'!I117-$D$11))),1/(1+EXP(-(LN(19)/($D$11-$C$11))*('Panel Dataset'!I117-$D$11))))</f>
        <v>9.90573994332241E-2</v>
      </c>
    </row>
    <row r="133" spans="2:10" x14ac:dyDescent="0.3">
      <c r="B133" s="7" t="str">
        <f>'Panel Dataset'!A118</f>
        <v>Micron Technology</v>
      </c>
      <c r="C133" s="7">
        <f>'Panel Dataset'!B118</f>
        <v>2021</v>
      </c>
      <c r="D133" s="12">
        <f>IF('Panel Dataset'!C118&gt;=$D$5,1/(1+EXP(-(LN(19)/($E$5-$D$5))*('Panel Dataset'!C118-$D$5))),1/(1+EXP(-(LN(19)/($D$5-$C$5))*('Panel Dataset'!C118-$D$5))))</f>
        <v>0.8939821353616777</v>
      </c>
      <c r="E133" s="12">
        <f>IF('Panel Dataset'!D118&gt;=$D$6,1/(1+EXP(-(LN(19)/($E$6-$D$6))*('Panel Dataset'!D118-$D$6))),1/(1+EXP(-(LN(19)/($D$6-$C$6))*('Panel Dataset'!D118-$D$6))))</f>
        <v>0.5543625330406885</v>
      </c>
      <c r="F133" s="12">
        <f>IF('Panel Dataset'!E118&gt;=$D$7,1/(1+EXP(-(LN(19)/($E$7-$D$7))*('Panel Dataset'!E118-$D$7))),1/(1+EXP(-(LN(19)/($D$7-$C$7))*('Panel Dataset'!E118-$D$7))))</f>
        <v>0.65759838324839037</v>
      </c>
      <c r="G133" s="12">
        <f>IF('Panel Dataset'!F118&gt;=$D$8,1/(1+EXP(-(LN(19)/($E$8-$D$8))*('Panel Dataset'!F118-$D$8))),1/(1+EXP(-(LN(19)/($D$8-$C$8))*('Panel Dataset'!F118-$D$8))))</f>
        <v>0.90067243357918669</v>
      </c>
      <c r="H133" s="12">
        <f>IF('Panel Dataset'!G118&gt;=$D$9,1/(1+EXP(-(LN(19)/($E$9-$D$9))*('Panel Dataset'!G118-$D$9))),1/(1+EXP(-(LN(19)/($D$9-$C$9))*('Panel Dataset'!G118-$D$9))))</f>
        <v>0.92584190457484095</v>
      </c>
      <c r="I133" s="12">
        <f>IF('Panel Dataset'!H118&gt;=$D$10,1/(1+EXP(-(LN(19)/($E$10-$D$10))*('Panel Dataset'!H118-$D$10))),1/(1+EXP(-(LN(19)/($D$10-$C$10))*('Panel Dataset'!H118-$D$10))))</f>
        <v>0.83802756417458613</v>
      </c>
      <c r="J133" s="12">
        <f>IF('Panel Dataset'!I118&gt;=$D$11,1/(1+EXP(-(LN(19)/($E$11-$D$11))*('Panel Dataset'!I118-$D$11))),1/(1+EXP(-(LN(19)/($D$11-$C$11))*('Panel Dataset'!I118-$D$11))))</f>
        <v>0.77551395479875374</v>
      </c>
    </row>
    <row r="134" spans="2:10" x14ac:dyDescent="0.3">
      <c r="B134" s="7" t="str">
        <f>'Panel Dataset'!A119</f>
        <v>Micron Technology</v>
      </c>
      <c r="C134" s="7">
        <f>'Panel Dataset'!B119</f>
        <v>2022</v>
      </c>
      <c r="D134" s="12">
        <f>IF('Panel Dataset'!C119&gt;=$D$5,1/(1+EXP(-(LN(19)/($E$5-$D$5))*('Panel Dataset'!C119-$D$5))),1/(1+EXP(-(LN(19)/($D$5-$C$5))*('Panel Dataset'!C119-$D$5))))</f>
        <v>0.91940086087009409</v>
      </c>
      <c r="E134" s="12">
        <f>IF('Panel Dataset'!D119&gt;=$D$6,1/(1+EXP(-(LN(19)/($E$6-$D$6))*('Panel Dataset'!D119-$D$6))),1/(1+EXP(-(LN(19)/($D$6-$C$6))*('Panel Dataset'!D119-$D$6))))</f>
        <v>0.62259876191753039</v>
      </c>
      <c r="F134" s="12">
        <f>IF('Panel Dataset'!E119&gt;=$D$7,1/(1+EXP(-(LN(19)/($E$7-$D$7))*('Panel Dataset'!E119-$D$7))),1/(1+EXP(-(LN(19)/($D$7-$C$7))*('Panel Dataset'!E119-$D$7))))</f>
        <v>0.82792960897197987</v>
      </c>
      <c r="G134" s="12">
        <f>IF('Panel Dataset'!F119&gt;=$D$8,1/(1+EXP(-(LN(19)/($E$8-$D$8))*('Panel Dataset'!F119-$D$8))),1/(1+EXP(-(LN(19)/($D$8-$C$8))*('Panel Dataset'!F119-$D$8))))</f>
        <v>0.94377503579731814</v>
      </c>
      <c r="H134" s="12">
        <f>IF('Panel Dataset'!G119&gt;=$D$9,1/(1+EXP(-(LN(19)/($E$9-$D$9))*('Panel Dataset'!G119-$D$9))),1/(1+EXP(-(LN(19)/($D$9-$C$9))*('Panel Dataset'!G119-$D$9))))</f>
        <v>0.87409593819636822</v>
      </c>
      <c r="I134" s="12">
        <f>IF('Panel Dataset'!H119&gt;=$D$10,1/(1+EXP(-(LN(19)/($E$10-$D$10))*('Panel Dataset'!H119-$D$10))),1/(1+EXP(-(LN(19)/($D$10-$C$10))*('Panel Dataset'!H119-$D$10))))</f>
        <v>0.91030797515336348</v>
      </c>
      <c r="J134" s="12">
        <f>IF('Panel Dataset'!I119&gt;=$D$11,1/(1+EXP(-(LN(19)/($E$11-$D$11))*('Panel Dataset'!I119-$D$11))),1/(1+EXP(-(LN(19)/($D$11-$C$11))*('Panel Dataset'!I119-$D$11))))</f>
        <v>0.850969175887899</v>
      </c>
    </row>
    <row r="135" spans="2:10" x14ac:dyDescent="0.3">
      <c r="B135" s="7" t="str">
        <f>'Panel Dataset'!A120</f>
        <v>Micron Technology</v>
      </c>
      <c r="C135" s="7">
        <f>'Panel Dataset'!B120</f>
        <v>2023</v>
      </c>
      <c r="D135" s="12">
        <f>IF('Panel Dataset'!C120&gt;=$D$5,1/(1+EXP(-(LN(19)/($E$5-$D$5))*('Panel Dataset'!C120-$D$5))),1/(1+EXP(-(LN(19)/($D$5-$C$5))*('Panel Dataset'!C120-$D$5))))</f>
        <v>0.94870157576000058</v>
      </c>
      <c r="E135" s="12">
        <f>IF('Panel Dataset'!D120&gt;=$D$6,1/(1+EXP(-(LN(19)/($E$6-$D$6))*('Panel Dataset'!D120-$D$6))),1/(1+EXP(-(LN(19)/($D$6-$C$6))*('Panel Dataset'!D120-$D$6))))</f>
        <v>0.75835857644719662</v>
      </c>
      <c r="F135" s="12">
        <f>IF('Panel Dataset'!E120&gt;=$D$7,1/(1+EXP(-(LN(19)/($E$7-$D$7))*('Panel Dataset'!E120-$D$7))),1/(1+EXP(-(LN(19)/($D$7-$C$7))*('Panel Dataset'!E120-$D$7))))</f>
        <v>0.90887836274837863</v>
      </c>
      <c r="G135" s="12">
        <f>IF('Panel Dataset'!F120&gt;=$D$8,1/(1+EXP(-(LN(19)/($E$8-$D$8))*('Panel Dataset'!F120-$D$8))),1/(1+EXP(-(LN(19)/($D$8-$C$8))*('Panel Dataset'!F120-$D$8))))</f>
        <v>0.95452303530074323</v>
      </c>
      <c r="H135" s="12">
        <f>IF('Panel Dataset'!G120&gt;=$D$9,1/(1+EXP(-(LN(19)/($E$9-$D$9))*('Panel Dataset'!G120-$D$9))),1/(1+EXP(-(LN(19)/($D$9-$C$9))*('Panel Dataset'!G120-$D$9))))</f>
        <v>0.94163427702183244</v>
      </c>
      <c r="I135" s="12">
        <f>IF('Panel Dataset'!H120&gt;=$D$10,1/(1+EXP(-(LN(19)/($E$10-$D$10))*('Panel Dataset'!H120-$D$10))),1/(1+EXP(-(LN(19)/($D$10-$C$10))*('Panel Dataset'!H120-$D$10))))</f>
        <v>0.90587759310518845</v>
      </c>
      <c r="J135" s="12">
        <f>IF('Panel Dataset'!I120&gt;=$D$11,1/(1+EXP(-(LN(19)/($E$11-$D$11))*('Panel Dataset'!I120-$D$11))),1/(1+EXP(-(LN(19)/($D$11-$C$11))*('Panel Dataset'!I120-$D$11))))</f>
        <v>0.91292704540104008</v>
      </c>
    </row>
    <row r="136" spans="2:10" x14ac:dyDescent="0.3">
      <c r="B136" s="7" t="str">
        <f>'Panel Dataset'!A121</f>
        <v>Micron Technology</v>
      </c>
      <c r="C136" s="7">
        <f>'Panel Dataset'!B121</f>
        <v>2024</v>
      </c>
      <c r="D136" s="12">
        <f>IF('Panel Dataset'!C121&gt;=$D$5,1/(1+EXP(-(LN(19)/($E$5-$D$5))*('Panel Dataset'!C121-$D$5))),1/(1+EXP(-(LN(19)/($D$5-$C$5))*('Panel Dataset'!C121-$D$5))))</f>
        <v>0.95967593306986665</v>
      </c>
      <c r="E136" s="12">
        <f>IF('Panel Dataset'!D121&gt;=$D$6,1/(1+EXP(-(LN(19)/($E$6-$D$6))*('Panel Dataset'!D121-$D$6))),1/(1+EXP(-(LN(19)/($D$6-$C$6))*('Panel Dataset'!D121-$D$6))))</f>
        <v>0.87625183411780017</v>
      </c>
      <c r="F136" s="12">
        <f>IF('Panel Dataset'!E121&gt;=$D$7,1/(1+EXP(-(LN(19)/($E$7-$D$7))*('Panel Dataset'!E121-$D$7))),1/(1+EXP(-(LN(19)/($D$7-$C$7))*('Panel Dataset'!E121-$D$7))))</f>
        <v>0.90792311813693283</v>
      </c>
      <c r="G136" s="12">
        <f>IF('Panel Dataset'!F121&gt;=$D$8,1/(1+EXP(-(LN(19)/($E$8-$D$8))*('Panel Dataset'!F121-$D$8))),1/(1+EXP(-(LN(19)/($D$8-$C$8))*('Panel Dataset'!F121-$D$8))))</f>
        <v>0.95293427554407262</v>
      </c>
      <c r="H136" s="12">
        <f>IF('Panel Dataset'!G121&gt;=$D$9,1/(1+EXP(-(LN(19)/($E$9-$D$9))*('Panel Dataset'!G121-$D$9))),1/(1+EXP(-(LN(19)/($D$9-$C$9))*('Panel Dataset'!G121-$D$9))))</f>
        <v>0.9311357652038007</v>
      </c>
      <c r="I136" s="12">
        <f>IF('Panel Dataset'!H121&gt;=$D$10,1/(1+EXP(-(LN(19)/($E$10-$D$10))*('Panel Dataset'!H121-$D$10))),1/(1+EXP(-(LN(19)/($D$10-$C$10))*('Panel Dataset'!H121-$D$10))))</f>
        <v>0.92559575156110629</v>
      </c>
      <c r="J136" s="12">
        <f>IF('Panel Dataset'!I121&gt;=$D$11,1/(1+EXP(-(LN(19)/($E$11-$D$11))*('Panel Dataset'!I121-$D$11))),1/(1+EXP(-(LN(19)/($D$11-$C$11))*('Panel Dataset'!I121-$D$11))))</f>
        <v>0.89578485243478756</v>
      </c>
    </row>
    <row r="137" spans="2:10" x14ac:dyDescent="0.3">
      <c r="B137" s="7" t="str">
        <f>'Panel Dataset'!A122</f>
        <v>Monolithic Power Systems</v>
      </c>
      <c r="C137" s="7">
        <f>'Panel Dataset'!B122</f>
        <v>2015</v>
      </c>
      <c r="D137" s="12">
        <f>IF('Panel Dataset'!C122&gt;=$D$5,1/(1+EXP(-(LN(19)/($E$5-$D$5))*('Panel Dataset'!C122-$D$5))),1/(1+EXP(-(LN(19)/($D$5-$C$5))*('Panel Dataset'!C122-$D$5))))</f>
        <v>4.5076523568650044E-2</v>
      </c>
      <c r="E137" s="12">
        <f>IF('Panel Dataset'!D122&gt;=$D$6,1/(1+EXP(-(LN(19)/($E$6-$D$6))*('Panel Dataset'!D122-$D$6))),1/(1+EXP(-(LN(19)/($D$6-$C$6))*('Panel Dataset'!D122-$D$6))))</f>
        <v>0.1478565687627787</v>
      </c>
      <c r="F137" s="12">
        <f>IF('Panel Dataset'!E122&gt;=$D$7,1/(1+EXP(-(LN(19)/($E$7-$D$7))*('Panel Dataset'!E122-$D$7))),1/(1+EXP(-(LN(19)/($D$7-$C$7))*('Panel Dataset'!E122-$D$7))))</f>
        <v>1.8246211549911705E-2</v>
      </c>
      <c r="G137" s="12">
        <f>IF('Panel Dataset'!F122&gt;=$D$8,1/(1+EXP(-(LN(19)/($E$8-$D$8))*('Panel Dataset'!F122-$D$8))),1/(1+EXP(-(LN(19)/($D$8-$C$8))*('Panel Dataset'!F122-$D$8))))</f>
        <v>6.3745668794970969E-2</v>
      </c>
      <c r="H137" s="12">
        <f>IF('Panel Dataset'!G122&gt;=$D$9,1/(1+EXP(-(LN(19)/($E$9-$D$9))*('Panel Dataset'!G122-$D$9))),1/(1+EXP(-(LN(19)/($D$9-$C$9))*('Panel Dataset'!G122-$D$9))))</f>
        <v>1.3100780761433209E-2</v>
      </c>
      <c r="I137" s="12">
        <f>IF('Panel Dataset'!H122&gt;=$D$10,1/(1+EXP(-(LN(19)/($E$10-$D$10))*('Panel Dataset'!H122-$D$10))),1/(1+EXP(-(LN(19)/($D$10-$C$10))*('Panel Dataset'!H122-$D$10))))</f>
        <v>6.2385462314798273E-2</v>
      </c>
      <c r="J137" s="12">
        <f>IF('Panel Dataset'!I122&gt;=$D$11,1/(1+EXP(-(LN(19)/($E$11-$D$11))*('Panel Dataset'!I122-$D$11))),1/(1+EXP(-(LN(19)/($D$11-$C$11))*('Panel Dataset'!I122-$D$11))))</f>
        <v>5.2290516572811502E-2</v>
      </c>
    </row>
    <row r="138" spans="2:10" x14ac:dyDescent="0.3">
      <c r="B138" s="7" t="str">
        <f>'Panel Dataset'!A123</f>
        <v>Monolithic Power Systems</v>
      </c>
      <c r="C138" s="7">
        <f>'Panel Dataset'!B123</f>
        <v>2016</v>
      </c>
      <c r="D138" s="12">
        <f>IF('Panel Dataset'!C123&gt;=$D$5,1/(1+EXP(-(LN(19)/($E$5-$D$5))*('Panel Dataset'!C123-$D$5))),1/(1+EXP(-(LN(19)/($D$5-$C$5))*('Panel Dataset'!C123-$D$5))))</f>
        <v>4.3335825660258939E-2</v>
      </c>
      <c r="E138" s="12">
        <f>IF('Panel Dataset'!D123&gt;=$D$6,1/(1+EXP(-(LN(19)/($E$6-$D$6))*('Panel Dataset'!D123-$D$6))),1/(1+EXP(-(LN(19)/($D$6-$C$6))*('Panel Dataset'!D123-$D$6))))</f>
        <v>0.26003021107770757</v>
      </c>
      <c r="F138" s="12">
        <f>IF('Panel Dataset'!E123&gt;=$D$7,1/(1+EXP(-(LN(19)/($E$7-$D$7))*('Panel Dataset'!E123-$D$7))),1/(1+EXP(-(LN(19)/($D$7-$C$7))*('Panel Dataset'!E123-$D$7))))</f>
        <v>3.7372257110053757E-2</v>
      </c>
      <c r="G138" s="12">
        <f>IF('Panel Dataset'!F123&gt;=$D$8,1/(1+EXP(-(LN(19)/($E$8-$D$8))*('Panel Dataset'!F123-$D$8))),1/(1+EXP(-(LN(19)/($D$8-$C$8))*('Panel Dataset'!F123-$D$8))))</f>
        <v>3.8388516614786858E-2</v>
      </c>
      <c r="H138" s="12">
        <f>IF('Panel Dataset'!G123&gt;=$D$9,1/(1+EXP(-(LN(19)/($E$9-$D$9))*('Panel Dataset'!G123-$D$9))),1/(1+EXP(-(LN(19)/($D$9-$C$9))*('Panel Dataset'!G123-$D$9))))</f>
        <v>1.236101768192365E-2</v>
      </c>
      <c r="I138" s="12">
        <f>IF('Panel Dataset'!H123&gt;=$D$10,1/(1+EXP(-(LN(19)/($E$10-$D$10))*('Panel Dataset'!H123-$D$10))),1/(1+EXP(-(LN(19)/($D$10-$C$10))*('Panel Dataset'!H123-$D$10))))</f>
        <v>4.4618574012661977E-2</v>
      </c>
      <c r="J138" s="12">
        <f>IF('Panel Dataset'!I123&gt;=$D$11,1/(1+EXP(-(LN(19)/($E$11-$D$11))*('Panel Dataset'!I123-$D$11))),1/(1+EXP(-(LN(19)/($D$11-$C$11))*('Panel Dataset'!I123-$D$11))))</f>
        <v>0.14584620140892923</v>
      </c>
    </row>
    <row r="139" spans="2:10" x14ac:dyDescent="0.3">
      <c r="B139" s="7" t="str">
        <f>'Panel Dataset'!A124</f>
        <v>Monolithic Power Systems</v>
      </c>
      <c r="C139" s="7">
        <f>'Panel Dataset'!B124</f>
        <v>2017</v>
      </c>
      <c r="D139" s="12">
        <f>IF('Panel Dataset'!C124&gt;=$D$5,1/(1+EXP(-(LN(19)/($E$5-$D$5))*('Panel Dataset'!C124-$D$5))),1/(1+EXP(-(LN(19)/($D$5-$C$5))*('Panel Dataset'!C124-$D$5))))</f>
        <v>5.2478227297595742E-2</v>
      </c>
      <c r="E139" s="12">
        <f>IF('Panel Dataset'!D124&gt;=$D$6,1/(1+EXP(-(LN(19)/($E$6-$D$6))*('Panel Dataset'!D124-$D$6))),1/(1+EXP(-(LN(19)/($D$6-$C$6))*('Panel Dataset'!D124-$D$6))))</f>
        <v>0.41042653394877254</v>
      </c>
      <c r="F139" s="12">
        <f>IF('Panel Dataset'!E124&gt;=$D$7,1/(1+EXP(-(LN(19)/($E$7-$D$7))*('Panel Dataset'!E124-$D$7))),1/(1+EXP(-(LN(19)/($D$7-$C$7))*('Panel Dataset'!E124-$D$7))))</f>
        <v>4.6909883828013456E-2</v>
      </c>
      <c r="G139" s="12">
        <f>IF('Panel Dataset'!F124&gt;=$D$8,1/(1+EXP(-(LN(19)/($E$8-$D$8))*('Panel Dataset'!F124-$D$8))),1/(1+EXP(-(LN(19)/($D$8-$C$8))*('Panel Dataset'!F124-$D$8))))</f>
        <v>7.0830272817410569E-2</v>
      </c>
      <c r="H139" s="12">
        <f>IF('Panel Dataset'!G124&gt;=$D$9,1/(1+EXP(-(LN(19)/($E$9-$D$9))*('Panel Dataset'!G124-$D$9))),1/(1+EXP(-(LN(19)/($D$9-$C$9))*('Panel Dataset'!G124-$D$9))))</f>
        <v>1.550488987380862E-2</v>
      </c>
      <c r="I139" s="12">
        <f>IF('Panel Dataset'!H124&gt;=$D$10,1/(1+EXP(-(LN(19)/($E$10-$D$10))*('Panel Dataset'!H124-$D$10))),1/(1+EXP(-(LN(19)/($D$10-$C$10))*('Panel Dataset'!H124-$D$10))))</f>
        <v>5.1612375189257119E-2</v>
      </c>
      <c r="J139" s="12">
        <f>IF('Panel Dataset'!I124&gt;=$D$11,1/(1+EXP(-(LN(19)/($E$11-$D$11))*('Panel Dataset'!I124-$D$11))),1/(1+EXP(-(LN(19)/($D$11-$C$11))*('Panel Dataset'!I124-$D$11))))</f>
        <v>3.1580795215892132E-2</v>
      </c>
    </row>
    <row r="140" spans="2:10" x14ac:dyDescent="0.3">
      <c r="B140" s="7" t="str">
        <f>'Panel Dataset'!A125</f>
        <v>Monolithic Power Systems</v>
      </c>
      <c r="C140" s="7">
        <f>'Panel Dataset'!B125</f>
        <v>2018</v>
      </c>
      <c r="D140" s="12">
        <f>IF('Panel Dataset'!C125&gt;=$D$5,1/(1+EXP(-(LN(19)/($E$5-$D$5))*('Panel Dataset'!C125-$D$5))),1/(1+EXP(-(LN(19)/($D$5-$C$5))*('Panel Dataset'!C125-$D$5))))</f>
        <v>6.9297014706273349E-2</v>
      </c>
      <c r="E140" s="12">
        <f>IF('Panel Dataset'!D125&gt;=$D$6,1/(1+EXP(-(LN(19)/($E$6-$D$6))*('Panel Dataset'!D125-$D$6))),1/(1+EXP(-(LN(19)/($D$6-$C$6))*('Panel Dataset'!D125-$D$6))))</f>
        <v>0.57697337658909942</v>
      </c>
      <c r="F140" s="12">
        <f>IF('Panel Dataset'!E125&gt;=$D$7,1/(1+EXP(-(LN(19)/($E$7-$D$7))*('Panel Dataset'!E125-$D$7))),1/(1+EXP(-(LN(19)/($D$7-$C$7))*('Panel Dataset'!E125-$D$7))))</f>
        <v>0.1374449047757221</v>
      </c>
      <c r="G140" s="12">
        <f>IF('Panel Dataset'!F125&gt;=$D$8,1/(1+EXP(-(LN(19)/($E$8-$D$8))*('Panel Dataset'!F125-$D$8))),1/(1+EXP(-(LN(19)/($D$8-$C$8))*('Panel Dataset'!F125-$D$8))))</f>
        <v>7.4339860631999488E-2</v>
      </c>
      <c r="H140" s="12">
        <f>IF('Panel Dataset'!G125&gt;=$D$9,1/(1+EXP(-(LN(19)/($E$9-$D$9))*('Panel Dataset'!G125-$D$9))),1/(1+EXP(-(LN(19)/($D$9-$C$9))*('Panel Dataset'!G125-$D$9))))</f>
        <v>4.793900218613615E-2</v>
      </c>
      <c r="I140" s="12">
        <f>IF('Panel Dataset'!H125&gt;=$D$10,1/(1+EXP(-(LN(19)/($E$10-$D$10))*('Panel Dataset'!H125-$D$10))),1/(1+EXP(-(LN(19)/($D$10-$C$10))*('Panel Dataset'!H125-$D$10))))</f>
        <v>8.5393625888890462E-2</v>
      </c>
      <c r="J140" s="12">
        <f>IF('Panel Dataset'!I125&gt;=$D$11,1/(1+EXP(-(LN(19)/($E$11-$D$11))*('Panel Dataset'!I125-$D$11))),1/(1+EXP(-(LN(19)/($D$11-$C$11))*('Panel Dataset'!I125-$D$11))))</f>
        <v>0.20447792204015208</v>
      </c>
    </row>
    <row r="141" spans="2:10" x14ac:dyDescent="0.3">
      <c r="B141" s="7" t="str">
        <f>'Panel Dataset'!A126</f>
        <v>Monolithic Power Systems</v>
      </c>
      <c r="C141" s="7">
        <f>'Panel Dataset'!B126</f>
        <v>2019</v>
      </c>
      <c r="D141" s="12">
        <f>IF('Panel Dataset'!C126&gt;=$D$5,1/(1+EXP(-(LN(19)/($E$5-$D$5))*('Panel Dataset'!C126-$D$5))),1/(1+EXP(-(LN(19)/($D$5-$C$5))*('Panel Dataset'!C126-$D$5))))</f>
        <v>0.12204034400126655</v>
      </c>
      <c r="E141" s="12">
        <f>IF('Panel Dataset'!D126&gt;=$D$6,1/(1+EXP(-(LN(19)/($E$6-$D$6))*('Panel Dataset'!D126-$D$6))),1/(1+EXP(-(LN(19)/($D$6-$C$6))*('Panel Dataset'!D126-$D$6))))</f>
        <v>0.70346977840867875</v>
      </c>
      <c r="F141" s="12">
        <f>IF('Panel Dataset'!E126&gt;=$D$7,1/(1+EXP(-(LN(19)/($E$7-$D$7))*('Panel Dataset'!E126-$D$7))),1/(1+EXP(-(LN(19)/($D$7-$C$7))*('Panel Dataset'!E126-$D$7))))</f>
        <v>0.17102619704478614</v>
      </c>
      <c r="G141" s="12">
        <f>IF('Panel Dataset'!F126&gt;=$D$8,1/(1+EXP(-(LN(19)/($E$8-$D$8))*('Panel Dataset'!F126-$D$8))),1/(1+EXP(-(LN(19)/($D$8-$C$8))*('Panel Dataset'!F126-$D$8))))</f>
        <v>0.14058349625073346</v>
      </c>
      <c r="H141" s="12">
        <f>IF('Panel Dataset'!G126&gt;=$D$9,1/(1+EXP(-(LN(19)/($E$9-$D$9))*('Panel Dataset'!G126-$D$9))),1/(1+EXP(-(LN(19)/($D$9-$C$9))*('Panel Dataset'!G126-$D$9))))</f>
        <v>8.5670626525372759E-2</v>
      </c>
      <c r="I141" s="12">
        <f>IF('Panel Dataset'!H126&gt;=$D$10,1/(1+EXP(-(LN(19)/($E$10-$D$10))*('Panel Dataset'!H126-$D$10))),1/(1+EXP(-(LN(19)/($D$10-$C$10))*('Panel Dataset'!H126-$D$10))))</f>
        <v>0.17570072430468262</v>
      </c>
      <c r="J141" s="12">
        <f>IF('Panel Dataset'!I126&gt;=$D$11,1/(1+EXP(-(LN(19)/($E$11-$D$11))*('Panel Dataset'!I126-$D$11))),1/(1+EXP(-(LN(19)/($D$11-$C$11))*('Panel Dataset'!I126-$D$11))))</f>
        <v>0.25093168963677676</v>
      </c>
    </row>
    <row r="142" spans="2:10" x14ac:dyDescent="0.3">
      <c r="B142" s="7" t="str">
        <f>'Panel Dataset'!A127</f>
        <v>Monolithic Power Systems</v>
      </c>
      <c r="C142" s="7">
        <f>'Panel Dataset'!B127</f>
        <v>2020</v>
      </c>
      <c r="D142" s="12">
        <f>IF('Panel Dataset'!C127&gt;=$D$5,1/(1+EXP(-(LN(19)/($E$5-$D$5))*('Panel Dataset'!C127-$D$5))),1/(1+EXP(-(LN(19)/($D$5-$C$5))*('Panel Dataset'!C127-$D$5))))</f>
        <v>0.27749813094055886</v>
      </c>
      <c r="E142" s="12">
        <f>IF('Panel Dataset'!D127&gt;=$D$6,1/(1+EXP(-(LN(19)/($E$6-$D$6))*('Panel Dataset'!D127-$D$6))),1/(1+EXP(-(LN(19)/($D$6-$C$6))*('Panel Dataset'!D127-$D$6))))</f>
        <v>0.79531280638967705</v>
      </c>
      <c r="F142" s="12">
        <f>IF('Panel Dataset'!E127&gt;=$D$7,1/(1+EXP(-(LN(19)/($E$7-$D$7))*('Panel Dataset'!E127-$D$7))),1/(1+EXP(-(LN(19)/($D$7-$C$7))*('Panel Dataset'!E127-$D$7))))</f>
        <v>0.25515014502845101</v>
      </c>
      <c r="G142" s="12">
        <f>IF('Panel Dataset'!F127&gt;=$D$8,1/(1+EXP(-(LN(19)/($E$8-$D$8))*('Panel Dataset'!F127-$D$8))),1/(1+EXP(-(LN(19)/($D$8-$C$8))*('Panel Dataset'!F127-$D$8))))</f>
        <v>0.4522777731410792</v>
      </c>
      <c r="H142" s="12">
        <f>IF('Panel Dataset'!G127&gt;=$D$9,1/(1+EXP(-(LN(19)/($E$9-$D$9))*('Panel Dataset'!G127-$D$9))),1/(1+EXP(-(LN(19)/($D$9-$C$9))*('Panel Dataset'!G127-$D$9))))</f>
        <v>0.1838799914519802</v>
      </c>
      <c r="I142" s="12">
        <f>IF('Panel Dataset'!H127&gt;=$D$10,1/(1+EXP(-(LN(19)/($E$10-$D$10))*('Panel Dataset'!H127-$D$10))),1/(1+EXP(-(LN(19)/($D$10-$C$10))*('Panel Dataset'!H127-$D$10))))</f>
        <v>0.26113006445723658</v>
      </c>
      <c r="J142" s="12">
        <f>IF('Panel Dataset'!I127&gt;=$D$11,1/(1+EXP(-(LN(19)/($E$11-$D$11))*('Panel Dataset'!I127-$D$11))),1/(1+EXP(-(LN(19)/($D$11-$C$11))*('Panel Dataset'!I127-$D$11))))</f>
        <v>0.19391631229712161</v>
      </c>
    </row>
    <row r="143" spans="2:10" x14ac:dyDescent="0.3">
      <c r="B143" s="7" t="str">
        <f>'Panel Dataset'!A128</f>
        <v>Monolithic Power Systems</v>
      </c>
      <c r="C143" s="7">
        <f>'Panel Dataset'!B128</f>
        <v>2021</v>
      </c>
      <c r="D143" s="12">
        <f>IF('Panel Dataset'!C128&gt;=$D$5,1/(1+EXP(-(LN(19)/($E$5-$D$5))*('Panel Dataset'!C128-$D$5))),1/(1+EXP(-(LN(19)/($D$5-$C$5))*('Panel Dataset'!C128-$D$5))))</f>
        <v>0.5672026801562855</v>
      </c>
      <c r="E143" s="12">
        <f>IF('Panel Dataset'!D128&gt;=$D$6,1/(1+EXP(-(LN(19)/($E$6-$D$6))*('Panel Dataset'!D128-$D$6))),1/(1+EXP(-(LN(19)/($D$6-$C$6))*('Panel Dataset'!D128-$D$6))))</f>
        <v>0.89850972486756508</v>
      </c>
      <c r="F143" s="12">
        <f>IF('Panel Dataset'!E128&gt;=$D$7,1/(1+EXP(-(LN(19)/($E$7-$D$7))*('Panel Dataset'!E128-$D$7))),1/(1+EXP(-(LN(19)/($D$7-$C$7))*('Panel Dataset'!E128-$D$7))))</f>
        <v>0.37637226488454961</v>
      </c>
      <c r="G143" s="12">
        <f>IF('Panel Dataset'!F128&gt;=$D$8,1/(1+EXP(-(LN(19)/($E$8-$D$8))*('Panel Dataset'!F128-$D$8))),1/(1+EXP(-(LN(19)/($D$8-$C$8))*('Panel Dataset'!F128-$D$8))))</f>
        <v>0.67147399280197573</v>
      </c>
      <c r="H143" s="12">
        <f>IF('Panel Dataset'!G128&gt;=$D$9,1/(1+EXP(-(LN(19)/($E$9-$D$9))*('Panel Dataset'!G128-$D$9))),1/(1+EXP(-(LN(19)/($D$9-$C$9))*('Panel Dataset'!G128-$D$9))))</f>
        <v>0.3527032243379038</v>
      </c>
      <c r="I143" s="12">
        <f>IF('Panel Dataset'!H128&gt;=$D$10,1/(1+EXP(-(LN(19)/($E$10-$D$10))*('Panel Dataset'!H128-$D$10))),1/(1+EXP(-(LN(19)/($D$10-$C$10))*('Panel Dataset'!H128-$D$10))))</f>
        <v>0.3858173234173794</v>
      </c>
      <c r="J143" s="12">
        <f>IF('Panel Dataset'!I128&gt;=$D$11,1/(1+EXP(-(LN(19)/($E$11-$D$11))*('Panel Dataset'!I128-$D$11))),1/(1+EXP(-(LN(19)/($D$11-$C$11))*('Panel Dataset'!I128-$D$11))))</f>
        <v>0.92508404138792577</v>
      </c>
    </row>
    <row r="144" spans="2:10" x14ac:dyDescent="0.3">
      <c r="B144" s="7" t="str">
        <f>'Panel Dataset'!A129</f>
        <v>Monolithic Power Systems</v>
      </c>
      <c r="C144" s="7">
        <f>'Panel Dataset'!B129</f>
        <v>2022</v>
      </c>
      <c r="D144" s="12">
        <f>IF('Panel Dataset'!C129&gt;=$D$5,1/(1+EXP(-(LN(19)/($E$5-$D$5))*('Panel Dataset'!C129-$D$5))),1/(1+EXP(-(LN(19)/($D$5-$C$5))*('Panel Dataset'!C129-$D$5))))</f>
        <v>0.7708512681533497</v>
      </c>
      <c r="E144" s="12">
        <f>IF('Panel Dataset'!D129&gt;=$D$6,1/(1+EXP(-(LN(19)/($E$6-$D$6))*('Panel Dataset'!D129-$D$6))),1/(1+EXP(-(LN(19)/($D$6-$C$6))*('Panel Dataset'!D129-$D$6))))</f>
        <v>0.89265785035908096</v>
      </c>
      <c r="F144" s="12">
        <f>IF('Panel Dataset'!E129&gt;=$D$7,1/(1+EXP(-(LN(19)/($E$7-$D$7))*('Panel Dataset'!E129-$D$7))),1/(1+EXP(-(LN(19)/($D$7-$C$7))*('Panel Dataset'!E129-$D$7))))</f>
        <v>0.4471406877129171</v>
      </c>
      <c r="G144" s="12">
        <f>IF('Panel Dataset'!F129&gt;=$D$8,1/(1+EXP(-(LN(19)/($E$8-$D$8))*('Panel Dataset'!F129-$D$8))),1/(1+EXP(-(LN(19)/($D$8-$C$8))*('Panel Dataset'!F129-$D$8))))</f>
        <v>0.7485791532109467</v>
      </c>
      <c r="H144" s="12">
        <f>IF('Panel Dataset'!G129&gt;=$D$9,1/(1+EXP(-(LN(19)/($E$9-$D$9))*('Panel Dataset'!G129-$D$9))),1/(1+EXP(-(LN(19)/($D$9-$C$9))*('Panel Dataset'!G129-$D$9))))</f>
        <v>0.1626813909177024</v>
      </c>
      <c r="I144" s="12">
        <f>IF('Panel Dataset'!H129&gt;=$D$10,1/(1+EXP(-(LN(19)/($E$10-$D$10))*('Panel Dataset'!H129-$D$10))),1/(1+EXP(-(LN(19)/($D$10-$C$10))*('Panel Dataset'!H129-$D$10))))</f>
        <v>0.73480684601873403</v>
      </c>
      <c r="J144" s="12">
        <f>IF('Panel Dataset'!I129&gt;=$D$11,1/(1+EXP(-(LN(19)/($E$11-$D$11))*('Panel Dataset'!I129-$D$11))),1/(1+EXP(-(LN(19)/($D$11-$C$11))*('Panel Dataset'!I129-$D$11))))</f>
        <v>0.70386085611266491</v>
      </c>
    </row>
    <row r="145" spans="2:10" x14ac:dyDescent="0.3">
      <c r="B145" s="7" t="str">
        <f>'Panel Dataset'!A130</f>
        <v>Monolithic Power Systems</v>
      </c>
      <c r="C145" s="7">
        <f>'Panel Dataset'!B130</f>
        <v>2023</v>
      </c>
      <c r="D145" s="12">
        <f>IF('Panel Dataset'!C130&gt;=$D$5,1/(1+EXP(-(LN(19)/($E$5-$D$5))*('Panel Dataset'!C130-$D$5))),1/(1+EXP(-(LN(19)/($D$5-$C$5))*('Panel Dataset'!C130-$D$5))))</f>
        <v>0.77804803362028474</v>
      </c>
      <c r="E145" s="12">
        <f>IF('Panel Dataset'!D130&gt;=$D$6,1/(1+EXP(-(LN(19)/($E$6-$D$6))*('Panel Dataset'!D130-$D$6))),1/(1+EXP(-(LN(19)/($D$6-$C$6))*('Panel Dataset'!D130-$D$6))))</f>
        <v>0.96447353369952349</v>
      </c>
      <c r="F145" s="12">
        <f>IF('Panel Dataset'!E130&gt;=$D$7,1/(1+EXP(-(LN(19)/($E$7-$D$7))*('Panel Dataset'!E130-$D$7))),1/(1+EXP(-(LN(19)/($D$7-$C$7))*('Panel Dataset'!E130-$D$7))))</f>
        <v>0.60603122452860014</v>
      </c>
      <c r="G145" s="12">
        <f>IF('Panel Dataset'!F130&gt;=$D$8,1/(1+EXP(-(LN(19)/($E$8-$D$8))*('Panel Dataset'!F130-$D$8))),1/(1+EXP(-(LN(19)/($D$8-$C$8))*('Panel Dataset'!F130-$D$8))))</f>
        <v>0.83046269504270687</v>
      </c>
      <c r="H145" s="12">
        <f>IF('Panel Dataset'!G130&gt;=$D$9,1/(1+EXP(-(LN(19)/($E$9-$D$9))*('Panel Dataset'!G130-$D$9))),1/(1+EXP(-(LN(19)/($D$9-$C$9))*('Panel Dataset'!G130-$D$9))))</f>
        <v>0.32297840264232625</v>
      </c>
      <c r="I145" s="12">
        <f>IF('Panel Dataset'!H130&gt;=$D$10,1/(1+EXP(-(LN(19)/($E$10-$D$10))*('Panel Dataset'!H130-$D$10))),1/(1+EXP(-(LN(19)/($D$10-$C$10))*('Panel Dataset'!H130-$D$10))))</f>
        <v>0.71976616091264767</v>
      </c>
      <c r="J145" s="12">
        <f>IF('Panel Dataset'!I130&gt;=$D$11,1/(1+EXP(-(LN(19)/($E$11-$D$11))*('Panel Dataset'!I130-$D$11))),1/(1+EXP(-(LN(19)/($D$11-$C$11))*('Panel Dataset'!I130-$D$11))))</f>
        <v>0.95116697629244451</v>
      </c>
    </row>
    <row r="146" spans="2:10" x14ac:dyDescent="0.3">
      <c r="B146" s="7" t="str">
        <f>'Panel Dataset'!A131</f>
        <v>Monolithic Power Systems</v>
      </c>
      <c r="C146" s="7">
        <f>'Panel Dataset'!B131</f>
        <v>2024</v>
      </c>
      <c r="D146" s="12">
        <f>IF('Panel Dataset'!C131&gt;=$D$5,1/(1+EXP(-(LN(19)/($E$5-$D$5))*('Panel Dataset'!C131-$D$5))),1/(1+EXP(-(LN(19)/($D$5-$C$5))*('Panel Dataset'!C131-$D$5))))</f>
        <v>0.8412564924495618</v>
      </c>
      <c r="E146" s="12">
        <f>IF('Panel Dataset'!D131&gt;=$D$6,1/(1+EXP(-(LN(19)/($E$6-$D$6))*('Panel Dataset'!D131-$D$6))),1/(1+EXP(-(LN(19)/($D$6-$C$6))*('Panel Dataset'!D131-$D$6))))</f>
        <v>0.97781903448412077</v>
      </c>
      <c r="F146" s="12">
        <f>IF('Panel Dataset'!E131&gt;=$D$7,1/(1+EXP(-(LN(19)/($E$7-$D$7))*('Panel Dataset'!E131-$D$7))),1/(1+EXP(-(LN(19)/($D$7-$C$7))*('Panel Dataset'!E131-$D$7))))</f>
        <v>0.63441436218530278</v>
      </c>
      <c r="G146" s="12">
        <f>IF('Panel Dataset'!F131&gt;=$D$8,1/(1+EXP(-(LN(19)/($E$8-$D$8))*('Panel Dataset'!F131-$D$8))),1/(1+EXP(-(LN(19)/($D$8-$C$8))*('Panel Dataset'!F131-$D$8))))</f>
        <v>0.81601613598433909</v>
      </c>
      <c r="H146" s="12">
        <f>IF('Panel Dataset'!G131&gt;=$D$9,1/(1+EXP(-(LN(19)/($E$9-$D$9))*('Panel Dataset'!G131-$D$9))),1/(1+EXP(-(LN(19)/($D$9-$C$9))*('Panel Dataset'!G131-$D$9))))</f>
        <v>0.54276266845372412</v>
      </c>
      <c r="I146" s="12">
        <f>IF('Panel Dataset'!H131&gt;=$D$10,1/(1+EXP(-(LN(19)/($E$10-$D$10))*('Panel Dataset'!H131-$D$10))),1/(1+EXP(-(LN(19)/($D$10-$C$10))*('Panel Dataset'!H131-$D$10))))</f>
        <v>0.82050033818760082</v>
      </c>
      <c r="J146" s="12">
        <f>IF('Panel Dataset'!I131&gt;=$D$11,1/(1+EXP(-(LN(19)/($E$11-$D$11))*('Panel Dataset'!I131-$D$11))),1/(1+EXP(-(LN(19)/($D$11-$C$11))*('Panel Dataset'!I131-$D$11))))</f>
        <v>0.95915480949034582</v>
      </c>
    </row>
    <row r="147" spans="2:10" x14ac:dyDescent="0.3">
      <c r="B147" s="7" t="str">
        <f>'Panel Dataset'!A132</f>
        <v>NVIDIA Corporation</v>
      </c>
      <c r="C147" s="7">
        <f>'Panel Dataset'!B132</f>
        <v>2015</v>
      </c>
      <c r="D147" s="12">
        <f>IF('Panel Dataset'!C132&gt;=$D$5,1/(1+EXP(-(LN(19)/($E$5-$D$5))*('Panel Dataset'!C132-$D$5))),1/(1+EXP(-(LN(19)/($D$5-$C$5))*('Panel Dataset'!C132-$D$5))))</f>
        <v>9.1817990029031141E-2</v>
      </c>
      <c r="E147" s="12">
        <f>IF('Panel Dataset'!D132&gt;=$D$6,1/(1+EXP(-(LN(19)/($E$6-$D$6))*('Panel Dataset'!D132-$D$6))),1/(1+EXP(-(LN(19)/($D$6-$C$6))*('Panel Dataset'!D132-$D$6))))</f>
        <v>0.1295520346622891</v>
      </c>
      <c r="F147" s="12">
        <f>IF('Panel Dataset'!E132&gt;=$D$7,1/(1+EXP(-(LN(19)/($E$7-$D$7))*('Panel Dataset'!E132-$D$7))),1/(1+EXP(-(LN(19)/($D$7-$C$7))*('Panel Dataset'!E132-$D$7))))</f>
        <v>7.7713571827596972E-2</v>
      </c>
      <c r="G147" s="12">
        <f>IF('Panel Dataset'!F132&gt;=$D$8,1/(1+EXP(-(LN(19)/($E$8-$D$8))*('Panel Dataset'!F132-$D$8))),1/(1+EXP(-(LN(19)/($D$8-$C$8))*('Panel Dataset'!F132-$D$8))))</f>
        <v>0.14073356691256672</v>
      </c>
      <c r="H147" s="12">
        <f>IF('Panel Dataset'!G132&gt;=$D$9,1/(1+EXP(-(LN(19)/($E$9-$D$9))*('Panel Dataset'!G132-$D$9))),1/(1+EXP(-(LN(19)/($D$9-$C$9))*('Panel Dataset'!G132-$D$9))))</f>
        <v>6.2747813008526721E-2</v>
      </c>
      <c r="I147" s="12">
        <f>IF('Panel Dataset'!H132&gt;=$D$10,1/(1+EXP(-(LN(19)/($E$10-$D$10))*('Panel Dataset'!H132-$D$10))),1/(1+EXP(-(LN(19)/($D$10-$C$10))*('Panel Dataset'!H132-$D$10))))</f>
        <v>0.15646027992798092</v>
      </c>
      <c r="J147" s="12">
        <f>IF('Panel Dataset'!I132&gt;=$D$11,1/(1+EXP(-(LN(19)/($E$11-$D$11))*('Panel Dataset'!I132-$D$11))),1/(1+EXP(-(LN(19)/($D$11-$C$11))*('Panel Dataset'!I132-$D$11))))</f>
        <v>0.10586151151328672</v>
      </c>
    </row>
    <row r="148" spans="2:10" x14ac:dyDescent="0.3">
      <c r="B148" s="7" t="str">
        <f>'Panel Dataset'!A133</f>
        <v>NVIDIA Corporation</v>
      </c>
      <c r="C148" s="7">
        <f>'Panel Dataset'!B133</f>
        <v>2016</v>
      </c>
      <c r="D148" s="12">
        <f>IF('Panel Dataset'!C133&gt;=$D$5,1/(1+EXP(-(LN(19)/($E$5-$D$5))*('Panel Dataset'!C133-$D$5))),1/(1+EXP(-(LN(19)/($D$5-$C$5))*('Panel Dataset'!C133-$D$5))))</f>
        <v>0.13344160858163048</v>
      </c>
      <c r="E148" s="12">
        <f>IF('Panel Dataset'!D133&gt;=$D$6,1/(1+EXP(-(LN(19)/($E$6-$D$6))*('Panel Dataset'!D133-$D$6))),1/(1+EXP(-(LN(19)/($D$6-$C$6))*('Panel Dataset'!D133-$D$6))))</f>
        <v>0.22363022308231992</v>
      </c>
      <c r="F148" s="12">
        <f>IF('Panel Dataset'!E133&gt;=$D$7,1/(1+EXP(-(LN(19)/($E$7-$D$7))*('Panel Dataset'!E133-$D$7))),1/(1+EXP(-(LN(19)/($D$7-$C$7))*('Panel Dataset'!E133-$D$7))))</f>
        <v>0.12969664589372873</v>
      </c>
      <c r="G148" s="12">
        <f>IF('Panel Dataset'!F133&gt;=$D$8,1/(1+EXP(-(LN(19)/($E$8-$D$8))*('Panel Dataset'!F133-$D$8))),1/(1+EXP(-(LN(19)/($D$8-$C$8))*('Panel Dataset'!F133-$D$8))))</f>
        <v>0.10265944544815984</v>
      </c>
      <c r="H148" s="12">
        <f>IF('Panel Dataset'!G133&gt;=$D$9,1/(1+EXP(-(LN(19)/($E$9-$D$9))*('Panel Dataset'!G133-$D$9))),1/(1+EXP(-(LN(19)/($D$9-$C$9))*('Panel Dataset'!G133-$D$9))))</f>
        <v>8.884668693763996E-2</v>
      </c>
      <c r="I148" s="12">
        <f>IF('Panel Dataset'!H133&gt;=$D$10,1/(1+EXP(-(LN(19)/($E$10-$D$10))*('Panel Dataset'!H133-$D$10))),1/(1+EXP(-(LN(19)/($D$10-$C$10))*('Panel Dataset'!H133-$D$10))))</f>
        <v>0.14560440815556294</v>
      </c>
      <c r="J148" s="12">
        <f>IF('Panel Dataset'!I133&gt;=$D$11,1/(1+EXP(-(LN(19)/($E$11-$D$11))*('Panel Dataset'!I133-$D$11))),1/(1+EXP(-(LN(19)/($D$11-$C$11))*('Panel Dataset'!I133-$D$11))))</f>
        <v>0.15736528955702123</v>
      </c>
    </row>
    <row r="149" spans="2:10" x14ac:dyDescent="0.3">
      <c r="B149" s="7" t="str">
        <f>'Panel Dataset'!A134</f>
        <v>NVIDIA Corporation</v>
      </c>
      <c r="C149" s="7">
        <f>'Panel Dataset'!B134</f>
        <v>2017</v>
      </c>
      <c r="D149" s="12">
        <f>IF('Panel Dataset'!C134&gt;=$D$5,1/(1+EXP(-(LN(19)/($E$5-$D$5))*('Panel Dataset'!C134-$D$5))),1/(1+EXP(-(LN(19)/($D$5-$C$5))*('Panel Dataset'!C134-$D$5))))</f>
        <v>0.16746935746529742</v>
      </c>
      <c r="E149" s="12">
        <f>IF('Panel Dataset'!D134&gt;=$D$6,1/(1+EXP(-(LN(19)/($E$6-$D$6))*('Panel Dataset'!D134-$D$6))),1/(1+EXP(-(LN(19)/($D$6-$C$6))*('Panel Dataset'!D134-$D$6))))</f>
        <v>0.32001283110830175</v>
      </c>
      <c r="F149" s="12">
        <f>IF('Panel Dataset'!E134&gt;=$D$7,1/(1+EXP(-(LN(19)/($E$7-$D$7))*('Panel Dataset'!E134-$D$7))),1/(1+EXP(-(LN(19)/($D$7-$C$7))*('Panel Dataset'!E134-$D$7))))</f>
        <v>0.2562425732555545</v>
      </c>
      <c r="G149" s="12">
        <f>IF('Panel Dataset'!F134&gt;=$D$8,1/(1+EXP(-(LN(19)/($E$8-$D$8))*('Panel Dataset'!F134-$D$8))),1/(1+EXP(-(LN(19)/($D$8-$C$8))*('Panel Dataset'!F134-$D$8))))</f>
        <v>0.12272361455665737</v>
      </c>
      <c r="H149" s="12">
        <f>IF('Panel Dataset'!G134&gt;=$D$9,1/(1+EXP(-(LN(19)/($E$9-$D$9))*('Panel Dataset'!G134-$D$9))),1/(1+EXP(-(LN(19)/($D$9-$C$9))*('Panel Dataset'!G134-$D$9))))</f>
        <v>0.14466799746188108</v>
      </c>
      <c r="I149" s="12">
        <f>IF('Panel Dataset'!H134&gt;=$D$10,1/(1+EXP(-(LN(19)/($E$10-$D$10))*('Panel Dataset'!H134-$D$10))),1/(1+EXP(-(LN(19)/($D$10-$C$10))*('Panel Dataset'!H134-$D$10))))</f>
        <v>0.10671739775900246</v>
      </c>
      <c r="J149" s="12">
        <f>IF('Panel Dataset'!I134&gt;=$D$11,1/(1+EXP(-(LN(19)/($E$11-$D$11))*('Panel Dataset'!I134-$D$11))),1/(1+EXP(-(LN(19)/($D$11-$C$11))*('Panel Dataset'!I134-$D$11))))</f>
        <v>0.24082067669046647</v>
      </c>
    </row>
    <row r="150" spans="2:10" x14ac:dyDescent="0.3">
      <c r="B150" s="7" t="str">
        <f>'Panel Dataset'!A135</f>
        <v>NVIDIA Corporation</v>
      </c>
      <c r="C150" s="7">
        <f>'Panel Dataset'!B135</f>
        <v>2018</v>
      </c>
      <c r="D150" s="12">
        <f>IF('Panel Dataset'!C135&gt;=$D$5,1/(1+EXP(-(LN(19)/($E$5-$D$5))*('Panel Dataset'!C135-$D$5))),1/(1+EXP(-(LN(19)/($D$5-$C$5))*('Panel Dataset'!C135-$D$5))))</f>
        <v>0.27029732600802414</v>
      </c>
      <c r="E150" s="12">
        <f>IF('Panel Dataset'!D135&gt;=$D$6,1/(1+EXP(-(LN(19)/($E$6-$D$6))*('Panel Dataset'!D135-$D$6))),1/(1+EXP(-(LN(19)/($D$6-$C$6))*('Panel Dataset'!D135-$D$6))))</f>
        <v>0.46809664065375567</v>
      </c>
      <c r="F150" s="12">
        <f>IF('Panel Dataset'!E135&gt;=$D$7,1/(1+EXP(-(LN(19)/($E$7-$D$7))*('Panel Dataset'!E135-$D$7))),1/(1+EXP(-(LN(19)/($D$7-$C$7))*('Panel Dataset'!E135-$D$7))))</f>
        <v>0.39221592304107872</v>
      </c>
      <c r="G150" s="12">
        <f>IF('Panel Dataset'!F135&gt;=$D$8,1/(1+EXP(-(LN(19)/($E$8-$D$8))*('Panel Dataset'!F135-$D$8))),1/(1+EXP(-(LN(19)/($D$8-$C$8))*('Panel Dataset'!F135-$D$8))))</f>
        <v>0.11530566798371499</v>
      </c>
      <c r="H150" s="12">
        <f>IF('Panel Dataset'!G135&gt;=$D$9,1/(1+EXP(-(LN(19)/($E$9-$D$9))*('Panel Dataset'!G135-$D$9))),1/(1+EXP(-(LN(19)/($D$9-$C$9))*('Panel Dataset'!G135-$D$9))))</f>
        <v>0.33218112062455679</v>
      </c>
      <c r="I150" s="12">
        <f>IF('Panel Dataset'!H135&gt;=$D$10,1/(1+EXP(-(LN(19)/($E$10-$D$10))*('Panel Dataset'!H135-$D$10))),1/(1+EXP(-(LN(19)/($D$10-$C$10))*('Panel Dataset'!H135-$D$10))))</f>
        <v>0.15348059454212923</v>
      </c>
      <c r="J150" s="12">
        <f>IF('Panel Dataset'!I135&gt;=$D$11,1/(1+EXP(-(LN(19)/($E$11-$D$11))*('Panel Dataset'!I135-$D$11))),1/(1+EXP(-(LN(19)/($D$11-$C$11))*('Panel Dataset'!I135-$D$11))))</f>
        <v>0.20321352642887497</v>
      </c>
    </row>
    <row r="151" spans="2:10" x14ac:dyDescent="0.3">
      <c r="B151" s="7" t="str">
        <f>'Panel Dataset'!A136</f>
        <v>NVIDIA Corporation</v>
      </c>
      <c r="C151" s="7">
        <f>'Panel Dataset'!B136</f>
        <v>2019</v>
      </c>
      <c r="D151" s="12">
        <f>IF('Panel Dataset'!C136&gt;=$D$5,1/(1+EXP(-(LN(19)/($E$5-$D$5))*('Panel Dataset'!C136-$D$5))),1/(1+EXP(-(LN(19)/($D$5-$C$5))*('Panel Dataset'!C136-$D$5))))</f>
        <v>0.47119102191000217</v>
      </c>
      <c r="E151" s="12">
        <f>IF('Panel Dataset'!D136&gt;=$D$6,1/(1+EXP(-(LN(19)/($E$6-$D$6))*('Panel Dataset'!D136-$D$6))),1/(1+EXP(-(LN(19)/($D$6-$C$6))*('Panel Dataset'!D136-$D$6))))</f>
        <v>0.5263258810019148</v>
      </c>
      <c r="F151" s="12">
        <f>IF('Panel Dataset'!E136&gt;=$D$7,1/(1+EXP(-(LN(19)/($E$7-$D$7))*('Panel Dataset'!E136-$D$7))),1/(1+EXP(-(LN(19)/($D$7-$C$7))*('Panel Dataset'!E136-$D$7))))</f>
        <v>0.50099494770146091</v>
      </c>
      <c r="G151" s="12">
        <f>IF('Panel Dataset'!F136&gt;=$D$8,1/(1+EXP(-(LN(19)/($E$8-$D$8))*('Panel Dataset'!F136-$D$8))),1/(1+EXP(-(LN(19)/($D$8-$C$8))*('Panel Dataset'!F136-$D$8))))</f>
        <v>0.31566665416402684</v>
      </c>
      <c r="H151" s="12">
        <f>IF('Panel Dataset'!G136&gt;=$D$9,1/(1+EXP(-(LN(19)/($E$9-$D$9))*('Panel Dataset'!G136-$D$9))),1/(1+EXP(-(LN(19)/($D$9-$C$9))*('Panel Dataset'!G136-$D$9))))</f>
        <v>0.27603482419920389</v>
      </c>
      <c r="I151" s="12">
        <f>IF('Panel Dataset'!H136&gt;=$D$10,1/(1+EXP(-(LN(19)/($E$10-$D$10))*('Panel Dataset'!H136-$D$10))),1/(1+EXP(-(LN(19)/($D$10-$C$10))*('Panel Dataset'!H136-$D$10))))</f>
        <v>0.25292295695461203</v>
      </c>
      <c r="J151" s="12">
        <f>IF('Panel Dataset'!I136&gt;=$D$11,1/(1+EXP(-(LN(19)/($E$11-$D$11))*('Panel Dataset'!I136-$D$11))),1/(1+EXP(-(LN(19)/($D$11-$C$11))*('Panel Dataset'!I136-$D$11))))</f>
        <v>0.57561781950574653</v>
      </c>
    </row>
    <row r="152" spans="2:10" x14ac:dyDescent="0.3">
      <c r="B152" s="7" t="str">
        <f>'Panel Dataset'!A137</f>
        <v>NVIDIA Corporation</v>
      </c>
      <c r="C152" s="7">
        <f>'Panel Dataset'!B137</f>
        <v>2020</v>
      </c>
      <c r="D152" s="12">
        <f>IF('Panel Dataset'!C137&gt;=$D$5,1/(1+EXP(-(LN(19)/($E$5-$D$5))*('Panel Dataset'!C137-$D$5))),1/(1+EXP(-(LN(19)/($D$5-$C$5))*('Panel Dataset'!C137-$D$5))))</f>
        <v>0.64022687357366936</v>
      </c>
      <c r="E152" s="12">
        <f>IF('Panel Dataset'!D137&gt;=$D$6,1/(1+EXP(-(LN(19)/($E$6-$D$6))*('Panel Dataset'!D137-$D$6))),1/(1+EXP(-(LN(19)/($D$6-$C$6))*('Panel Dataset'!D137-$D$6))))</f>
        <v>0.73228429616864255</v>
      </c>
      <c r="F152" s="12">
        <f>IF('Panel Dataset'!E137&gt;=$D$7,1/(1+EXP(-(LN(19)/($E$7-$D$7))*('Panel Dataset'!E137-$D$7))),1/(1+EXP(-(LN(19)/($D$7-$C$7))*('Panel Dataset'!E137-$D$7))))</f>
        <v>0.65284378786960129</v>
      </c>
      <c r="G152" s="12">
        <f>IF('Panel Dataset'!F137&gt;=$D$8,1/(1+EXP(-(LN(19)/($E$8-$D$8))*('Panel Dataset'!F137-$D$8))),1/(1+EXP(-(LN(19)/($D$8-$C$8))*('Panel Dataset'!F137-$D$8))))</f>
        <v>0.6804477867581229</v>
      </c>
      <c r="H152" s="12">
        <f>IF('Panel Dataset'!G137&gt;=$D$9,1/(1+EXP(-(LN(19)/($E$9-$D$9))*('Panel Dataset'!G137-$D$9))),1/(1+EXP(-(LN(19)/($D$9-$C$9))*('Panel Dataset'!G137-$D$9))))</f>
        <v>0.67058351289867624</v>
      </c>
      <c r="I152" s="12">
        <f>IF('Panel Dataset'!H137&gt;=$D$10,1/(1+EXP(-(LN(19)/($E$10-$D$10))*('Panel Dataset'!H137-$D$10))),1/(1+EXP(-(LN(19)/($D$10-$C$10))*('Panel Dataset'!H137-$D$10))))</f>
        <v>0.33997730830838857</v>
      </c>
      <c r="J152" s="12">
        <f>IF('Panel Dataset'!I137&gt;=$D$11,1/(1+EXP(-(LN(19)/($E$11-$D$11))*('Panel Dataset'!I137-$D$11))),1/(1+EXP(-(LN(19)/($D$11-$C$11))*('Panel Dataset'!I137-$D$11))))</f>
        <v>0.18730606284799281</v>
      </c>
    </row>
    <row r="153" spans="2:10" x14ac:dyDescent="0.3">
      <c r="B153" s="7" t="str">
        <f>'Panel Dataset'!A138</f>
        <v>NVIDIA Corporation</v>
      </c>
      <c r="C153" s="7">
        <f>'Panel Dataset'!B138</f>
        <v>2021</v>
      </c>
      <c r="D153" s="12">
        <f>IF('Panel Dataset'!C138&gt;=$D$5,1/(1+EXP(-(LN(19)/($E$5-$D$5))*('Panel Dataset'!C138-$D$5))),1/(1+EXP(-(LN(19)/($D$5-$C$5))*('Panel Dataset'!C138-$D$5))))</f>
        <v>0.8617524470333896</v>
      </c>
      <c r="E153" s="12">
        <f>IF('Panel Dataset'!D138&gt;=$D$6,1/(1+EXP(-(LN(19)/($E$6-$D$6))*('Panel Dataset'!D138-$D$6))),1/(1+EXP(-(LN(19)/($D$6-$C$6))*('Panel Dataset'!D138-$D$6))))</f>
        <v>0.82490499857876098</v>
      </c>
      <c r="F153" s="12">
        <f>IF('Panel Dataset'!E138&gt;=$D$7,1/(1+EXP(-(LN(19)/($E$7-$D$7))*('Panel Dataset'!E138-$D$7))),1/(1+EXP(-(LN(19)/($D$7-$C$7))*('Panel Dataset'!E138-$D$7))))</f>
        <v>0.72933975558295094</v>
      </c>
      <c r="G153" s="12">
        <f>IF('Panel Dataset'!F138&gt;=$D$8,1/(1+EXP(-(LN(19)/($E$8-$D$8))*('Panel Dataset'!F138-$D$8))),1/(1+EXP(-(LN(19)/($D$8-$C$8))*('Panel Dataset'!F138-$D$8))))</f>
        <v>0.8640842868144093</v>
      </c>
      <c r="H153" s="12">
        <f>IF('Panel Dataset'!G138&gt;=$D$9,1/(1+EXP(-(LN(19)/($E$9-$D$9))*('Panel Dataset'!G138-$D$9))),1/(1+EXP(-(LN(19)/($D$9-$C$9))*('Panel Dataset'!G138-$D$9))))</f>
        <v>0.81599913760237264</v>
      </c>
      <c r="I153" s="12">
        <f>IF('Panel Dataset'!H138&gt;=$D$10,1/(1+EXP(-(LN(19)/($E$10-$D$10))*('Panel Dataset'!H138-$D$10))),1/(1+EXP(-(LN(19)/($D$10-$C$10))*('Panel Dataset'!H138-$D$10))))</f>
        <v>0.69812391049393452</v>
      </c>
      <c r="J153" s="12">
        <f>IF('Panel Dataset'!I138&gt;=$D$11,1/(1+EXP(-(LN(19)/($E$11-$D$11))*('Panel Dataset'!I138-$D$11))),1/(1+EXP(-(LN(19)/($D$11-$C$11))*('Panel Dataset'!I138-$D$11))))</f>
        <v>0.80638552612883219</v>
      </c>
    </row>
    <row r="154" spans="2:10" x14ac:dyDescent="0.3">
      <c r="B154" s="7" t="str">
        <f>'Panel Dataset'!A139</f>
        <v>NVIDIA Corporation</v>
      </c>
      <c r="C154" s="7">
        <f>'Panel Dataset'!B139</f>
        <v>2022</v>
      </c>
      <c r="D154" s="12">
        <f>IF('Panel Dataset'!C139&gt;=$D$5,1/(1+EXP(-(LN(19)/($E$5-$D$5))*('Panel Dataset'!C139-$D$5))),1/(1+EXP(-(LN(19)/($D$5-$C$5))*('Panel Dataset'!C139-$D$5))))</f>
        <v>0.87984770553001468</v>
      </c>
      <c r="E154" s="12">
        <f>IF('Panel Dataset'!D139&gt;=$D$6,1/(1+EXP(-(LN(19)/($E$6-$D$6))*('Panel Dataset'!D139-$D$6))),1/(1+EXP(-(LN(19)/($D$6-$C$6))*('Panel Dataset'!D139-$D$6))))</f>
        <v>0.87138068514358147</v>
      </c>
      <c r="F154" s="12">
        <f>IF('Panel Dataset'!E139&gt;=$D$7,1/(1+EXP(-(LN(19)/($E$7-$D$7))*('Panel Dataset'!E139-$D$7))),1/(1+EXP(-(LN(19)/($D$7-$C$7))*('Panel Dataset'!E139-$D$7))))</f>
        <v>0.8760571282161066</v>
      </c>
      <c r="G154" s="12">
        <f>IF('Panel Dataset'!F139&gt;=$D$8,1/(1+EXP(-(LN(19)/($E$8-$D$8))*('Panel Dataset'!F139-$D$8))),1/(1+EXP(-(LN(19)/($D$8-$C$8))*('Panel Dataset'!F139-$D$8))))</f>
        <v>0.87587404992330742</v>
      </c>
      <c r="H154" s="12">
        <f>IF('Panel Dataset'!G139&gt;=$D$9,1/(1+EXP(-(LN(19)/($E$9-$D$9))*('Panel Dataset'!G139-$D$9))),1/(1+EXP(-(LN(19)/($D$9-$C$9))*('Panel Dataset'!G139-$D$9))))</f>
        <v>0.69363681603336824</v>
      </c>
      <c r="I154" s="12">
        <f>IF('Panel Dataset'!H139&gt;=$D$10,1/(1+EXP(-(LN(19)/($E$10-$D$10))*('Panel Dataset'!H139-$D$10))),1/(1+EXP(-(LN(19)/($D$10-$C$10))*('Panel Dataset'!H139-$D$10))))</f>
        <v>0.83939558323843799</v>
      </c>
      <c r="J154" s="12">
        <f>IF('Panel Dataset'!I139&gt;=$D$11,1/(1+EXP(-(LN(19)/($E$11-$D$11))*('Panel Dataset'!I139-$D$11))),1/(1+EXP(-(LN(19)/($D$11-$C$11))*('Panel Dataset'!I139-$D$11))))</f>
        <v>0.5206807124772499</v>
      </c>
    </row>
    <row r="155" spans="2:10" x14ac:dyDescent="0.3">
      <c r="B155" s="7" t="str">
        <f>'Panel Dataset'!A140</f>
        <v>NVIDIA Corporation</v>
      </c>
      <c r="C155" s="7">
        <f>'Panel Dataset'!B140</f>
        <v>2023</v>
      </c>
      <c r="D155" s="12">
        <f>IF('Panel Dataset'!C140&gt;=$D$5,1/(1+EXP(-(LN(19)/($E$5-$D$5))*('Panel Dataset'!C140-$D$5))),1/(1+EXP(-(LN(19)/($D$5-$C$5))*('Panel Dataset'!C140-$D$5))))</f>
        <v>0.89315091310886763</v>
      </c>
      <c r="E155" s="12">
        <f>IF('Panel Dataset'!D140&gt;=$D$6,1/(1+EXP(-(LN(19)/($E$6-$D$6))*('Panel Dataset'!D140-$D$6))),1/(1+EXP(-(LN(19)/($D$6-$C$6))*('Panel Dataset'!D140-$D$6))))</f>
        <v>0.94892657165021876</v>
      </c>
      <c r="F155" s="12">
        <f>IF('Panel Dataset'!E140&gt;=$D$7,1/(1+EXP(-(LN(19)/($E$7-$D$7))*('Panel Dataset'!E140-$D$7))),1/(1+EXP(-(LN(19)/($D$7-$C$7))*('Panel Dataset'!E140-$D$7))))</f>
        <v>0.89394059821842986</v>
      </c>
      <c r="G155" s="12">
        <f>IF('Panel Dataset'!F140&gt;=$D$8,1/(1+EXP(-(LN(19)/($E$8-$D$8))*('Panel Dataset'!F140-$D$8))),1/(1+EXP(-(LN(19)/($D$8-$C$8))*('Panel Dataset'!F140-$D$8))))</f>
        <v>0.92078262716938419</v>
      </c>
      <c r="H155" s="12">
        <f>IF('Panel Dataset'!G140&gt;=$D$9,1/(1+EXP(-(LN(19)/($E$9-$D$9))*('Panel Dataset'!G140-$D$9))),1/(1+EXP(-(LN(19)/($D$9-$C$9))*('Panel Dataset'!G140-$D$9))))</f>
        <v>0.84532280939008031</v>
      </c>
      <c r="I155" s="12">
        <f>IF('Panel Dataset'!H140&gt;=$D$10,1/(1+EXP(-(LN(19)/($E$10-$D$10))*('Panel Dataset'!H140-$D$10))),1/(1+EXP(-(LN(19)/($D$10-$C$10))*('Panel Dataset'!H140-$D$10))))</f>
        <v>0.91689080816130886</v>
      </c>
      <c r="J155" s="12">
        <f>IF('Panel Dataset'!I140&gt;=$D$11,1/(1+EXP(-(LN(19)/($E$11-$D$11))*('Panel Dataset'!I140-$D$11))),1/(1+EXP(-(LN(19)/($D$11-$C$11))*('Panel Dataset'!I140-$D$11))))</f>
        <v>0.84898226721026793</v>
      </c>
    </row>
    <row r="156" spans="2:10" x14ac:dyDescent="0.3">
      <c r="B156" s="7" t="str">
        <f>'Panel Dataset'!A141</f>
        <v>NVIDIA Corporation</v>
      </c>
      <c r="C156" s="7">
        <f>'Panel Dataset'!B141</f>
        <v>2024</v>
      </c>
      <c r="D156" s="12">
        <f>IF('Panel Dataset'!C141&gt;=$D$5,1/(1+EXP(-(LN(19)/($E$5-$D$5))*('Panel Dataset'!C141-$D$5))),1/(1+EXP(-(LN(19)/($D$5-$C$5))*('Panel Dataset'!C141-$D$5))))</f>
        <v>0.90198511783946289</v>
      </c>
      <c r="E156" s="12">
        <f>IF('Panel Dataset'!D141&gt;=$D$6,1/(1+EXP(-(LN(19)/($E$6-$D$6))*('Panel Dataset'!D141-$D$6))),1/(1+EXP(-(LN(19)/($D$6-$C$6))*('Panel Dataset'!D141-$D$6))))</f>
        <v>0.97692339764470737</v>
      </c>
      <c r="F156" s="12">
        <f>IF('Panel Dataset'!E141&gt;=$D$7,1/(1+EXP(-(LN(19)/($E$7-$D$7))*('Panel Dataset'!E141-$D$7))),1/(1+EXP(-(LN(19)/($D$7-$C$7))*('Panel Dataset'!E141-$D$7))))</f>
        <v>0.949470123974262</v>
      </c>
      <c r="G156" s="12">
        <f>IF('Panel Dataset'!F141&gt;=$D$8,1/(1+EXP(-(LN(19)/($E$8-$D$8))*('Panel Dataset'!F141-$D$8))),1/(1+EXP(-(LN(19)/($D$8-$C$8))*('Panel Dataset'!F141-$D$8))))</f>
        <v>0.90210704781007978</v>
      </c>
      <c r="H156" s="12">
        <f>IF('Panel Dataset'!G141&gt;=$D$9,1/(1+EXP(-(LN(19)/($E$9-$D$9))*('Panel Dataset'!G141-$D$9))),1/(1+EXP(-(LN(19)/($D$9-$C$9))*('Panel Dataset'!G141-$D$9))))</f>
        <v>0.87156642693621311</v>
      </c>
      <c r="I156" s="12">
        <f>IF('Panel Dataset'!H141&gt;=$D$10,1/(1+EXP(-(LN(19)/($E$10-$D$10))*('Panel Dataset'!H141-$D$10))),1/(1+EXP(-(LN(19)/($D$10-$C$10))*('Panel Dataset'!H141-$D$10))))</f>
        <v>0.93122243872122212</v>
      </c>
      <c r="J156" s="12">
        <f>IF('Panel Dataset'!I141&gt;=$D$11,1/(1+EXP(-(LN(19)/($E$11-$D$11))*('Panel Dataset'!I141-$D$11))),1/(1+EXP(-(LN(19)/($D$11-$C$11))*('Panel Dataset'!I141-$D$11))))</f>
        <v>0.96280401789117764</v>
      </c>
    </row>
    <row r="157" spans="2:10" x14ac:dyDescent="0.3">
      <c r="B157" s="7" t="str">
        <f>'Panel Dataset'!A142</f>
        <v>NXP Semiconductors</v>
      </c>
      <c r="C157" s="7">
        <f>'Panel Dataset'!B142</f>
        <v>2015</v>
      </c>
      <c r="D157" s="12">
        <f>IF('Panel Dataset'!C142&gt;=$D$5,1/(1+EXP(-(LN(19)/($E$5-$D$5))*('Panel Dataset'!C142-$D$5))),1/(1+EXP(-(LN(19)/($D$5-$C$5))*('Panel Dataset'!C142-$D$5))))</f>
        <v>9.2130815353285836E-2</v>
      </c>
      <c r="E157" s="12">
        <f>IF('Panel Dataset'!D142&gt;=$D$6,1/(1+EXP(-(LN(19)/($E$6-$D$6))*('Panel Dataset'!D142-$D$6))),1/(1+EXP(-(LN(19)/($D$6-$C$6))*('Panel Dataset'!D142-$D$6))))</f>
        <v>4.8448595905279092E-2</v>
      </c>
      <c r="F157" s="12">
        <f>IF('Panel Dataset'!E142&gt;=$D$7,1/(1+EXP(-(LN(19)/($E$7-$D$7))*('Panel Dataset'!E142-$D$7))),1/(1+EXP(-(LN(19)/($D$7-$C$7))*('Panel Dataset'!E142-$D$7))))</f>
        <v>9.0514968948890703E-2</v>
      </c>
      <c r="G157" s="12">
        <f>IF('Panel Dataset'!F142&gt;=$D$8,1/(1+EXP(-(LN(19)/($E$8-$D$8))*('Panel Dataset'!F142-$D$8))),1/(1+EXP(-(LN(19)/($D$8-$C$8))*('Panel Dataset'!F142-$D$8))))</f>
        <v>0.10912276708243795</v>
      </c>
      <c r="H157" s="12">
        <f>IF('Panel Dataset'!G142&gt;=$D$9,1/(1+EXP(-(LN(19)/($E$9-$D$9))*('Panel Dataset'!G142-$D$9))),1/(1+EXP(-(LN(19)/($D$9-$C$9))*('Panel Dataset'!G142-$D$9))))</f>
        <v>6.0550777033865619E-2</v>
      </c>
      <c r="I157" s="12">
        <f>IF('Panel Dataset'!H142&gt;=$D$10,1/(1+EXP(-(LN(19)/($E$10-$D$10))*('Panel Dataset'!H142-$D$10))),1/(1+EXP(-(LN(19)/($D$10-$C$10))*('Panel Dataset'!H142-$D$10))))</f>
        <v>0.156293513148893</v>
      </c>
      <c r="J157" s="12">
        <f>IF('Panel Dataset'!I142&gt;=$D$11,1/(1+EXP(-(LN(19)/($E$11-$D$11))*('Panel Dataset'!I142-$D$11))),1/(1+EXP(-(LN(19)/($D$11-$C$11))*('Panel Dataset'!I142-$D$11))))</f>
        <v>3.9566948672857087E-2</v>
      </c>
    </row>
    <row r="158" spans="2:10" x14ac:dyDescent="0.3">
      <c r="B158" s="7" t="str">
        <f>'Panel Dataset'!A143</f>
        <v>NXP Semiconductors</v>
      </c>
      <c r="C158" s="7">
        <f>'Panel Dataset'!B143</f>
        <v>2016</v>
      </c>
      <c r="D158" s="12">
        <f>IF('Panel Dataset'!C143&gt;=$D$5,1/(1+EXP(-(LN(19)/($E$5-$D$5))*('Panel Dataset'!C143-$D$5))),1/(1+EXP(-(LN(19)/($D$5-$C$5))*('Panel Dataset'!C143-$D$5))))</f>
        <v>8.7837379974186211E-2</v>
      </c>
      <c r="E158" s="12">
        <f>IF('Panel Dataset'!D143&gt;=$D$6,1/(1+EXP(-(LN(19)/($E$6-$D$6))*('Panel Dataset'!D143-$D$6))),1/(1+EXP(-(LN(19)/($D$6-$C$6))*('Panel Dataset'!D143-$D$6))))</f>
        <v>3.8899541491420664E-2</v>
      </c>
      <c r="F158" s="12">
        <f>IF('Panel Dataset'!E143&gt;=$D$7,1/(1+EXP(-(LN(19)/($E$7-$D$7))*('Panel Dataset'!E143-$D$7))),1/(1+EXP(-(LN(19)/($D$7-$C$7))*('Panel Dataset'!E143-$D$7))))</f>
        <v>0.22183350532716731</v>
      </c>
      <c r="G158" s="12">
        <f>IF('Panel Dataset'!F143&gt;=$D$8,1/(1+EXP(-(LN(19)/($E$8-$D$8))*('Panel Dataset'!F143-$D$8))),1/(1+EXP(-(LN(19)/($D$8-$C$8))*('Panel Dataset'!F143-$D$8))))</f>
        <v>9.6971472221595287E-2</v>
      </c>
      <c r="H158" s="12">
        <f>IF('Panel Dataset'!G143&gt;=$D$9,1/(1+EXP(-(LN(19)/($E$9-$D$9))*('Panel Dataset'!G143-$D$9))),1/(1+EXP(-(LN(19)/($D$9-$C$9))*('Panel Dataset'!G143-$D$9))))</f>
        <v>7.7971380437461407E-2</v>
      </c>
      <c r="I158" s="12">
        <f>IF('Panel Dataset'!H143&gt;=$D$10,1/(1+EXP(-(LN(19)/($E$10-$D$10))*('Panel Dataset'!H143-$D$10))),1/(1+EXP(-(LN(19)/($D$10-$C$10))*('Panel Dataset'!H143-$D$10))))</f>
        <v>0.10989132294906723</v>
      </c>
      <c r="J158" s="12">
        <f>IF('Panel Dataset'!I143&gt;=$D$11,1/(1+EXP(-(LN(19)/($E$11-$D$11))*('Panel Dataset'!I143-$D$11))),1/(1+EXP(-(LN(19)/($D$11-$C$11))*('Panel Dataset'!I143-$D$11))))</f>
        <v>0.14584620140892923</v>
      </c>
    </row>
    <row r="159" spans="2:10" x14ac:dyDescent="0.3">
      <c r="B159" s="7" t="str">
        <f>'Panel Dataset'!A144</f>
        <v>NXP Semiconductors</v>
      </c>
      <c r="C159" s="7">
        <f>'Panel Dataset'!B144</f>
        <v>2017</v>
      </c>
      <c r="D159" s="12">
        <f>IF('Panel Dataset'!C144&gt;=$D$5,1/(1+EXP(-(LN(19)/($E$5-$D$5))*('Panel Dataset'!C144-$D$5))),1/(1+EXP(-(LN(19)/($D$5-$C$5))*('Panel Dataset'!C144-$D$5))))</f>
        <v>0.11808340111573304</v>
      </c>
      <c r="E159" s="12">
        <f>IF('Panel Dataset'!D144&gt;=$D$6,1/(1+EXP(-(LN(19)/($E$6-$D$6))*('Panel Dataset'!D144-$D$6))),1/(1+EXP(-(LN(19)/($D$6-$C$6))*('Panel Dataset'!D144-$D$6))))</f>
        <v>6.3105384665692876E-2</v>
      </c>
      <c r="F159" s="12">
        <f>IF('Panel Dataset'!E144&gt;=$D$7,1/(1+EXP(-(LN(19)/($E$7-$D$7))*('Panel Dataset'!E144-$D$7))),1/(1+EXP(-(LN(19)/($D$7-$C$7))*('Panel Dataset'!E144-$D$7))))</f>
        <v>0.33433172164166952</v>
      </c>
      <c r="G159" s="12">
        <f>IF('Panel Dataset'!F144&gt;=$D$8,1/(1+EXP(-(LN(19)/($E$8-$D$8))*('Panel Dataset'!F144-$D$8))),1/(1+EXP(-(LN(19)/($D$8-$C$8))*('Panel Dataset'!F144-$D$8))))</f>
        <v>0.14684688845541102</v>
      </c>
      <c r="H159" s="12">
        <f>IF('Panel Dataset'!G144&gt;=$D$9,1/(1+EXP(-(LN(19)/($E$9-$D$9))*('Panel Dataset'!G144-$D$9))),1/(1+EXP(-(LN(19)/($D$9-$C$9))*('Panel Dataset'!G144-$D$9))))</f>
        <v>0.13287163096661492</v>
      </c>
      <c r="I159" s="12">
        <f>IF('Panel Dataset'!H144&gt;=$D$10,1/(1+EXP(-(LN(19)/($E$10-$D$10))*('Panel Dataset'!H144-$D$10))),1/(1+EXP(-(LN(19)/($D$10-$C$10))*('Panel Dataset'!H144-$D$10))))</f>
        <v>0.22645155445063794</v>
      </c>
      <c r="J159" s="12">
        <f>IF('Panel Dataset'!I144&gt;=$D$11,1/(1+EXP(-(LN(19)/($E$11-$D$11))*('Panel Dataset'!I144-$D$11))),1/(1+EXP(-(LN(19)/($D$11-$C$11))*('Panel Dataset'!I144-$D$11))))</f>
        <v>0.13458083981285324</v>
      </c>
    </row>
    <row r="160" spans="2:10" x14ac:dyDescent="0.3">
      <c r="B160" s="7" t="str">
        <f>'Panel Dataset'!A145</f>
        <v>NXP Semiconductors</v>
      </c>
      <c r="C160" s="7">
        <f>'Panel Dataset'!B145</f>
        <v>2018</v>
      </c>
      <c r="D160" s="12">
        <f>IF('Panel Dataset'!C145&gt;=$D$5,1/(1+EXP(-(LN(19)/($E$5-$D$5))*('Panel Dataset'!C145-$D$5))),1/(1+EXP(-(LN(19)/($D$5-$C$5))*('Panel Dataset'!C145-$D$5))))</f>
        <v>0.23791041986594791</v>
      </c>
      <c r="E160" s="12">
        <f>IF('Panel Dataset'!D145&gt;=$D$6,1/(1+EXP(-(LN(19)/($E$6-$D$6))*('Panel Dataset'!D145-$D$6))),1/(1+EXP(-(LN(19)/($D$6-$C$6))*('Panel Dataset'!D145-$D$6))))</f>
        <v>0.123849343950707</v>
      </c>
      <c r="F160" s="12">
        <f>IF('Panel Dataset'!E145&gt;=$D$7,1/(1+EXP(-(LN(19)/($E$7-$D$7))*('Panel Dataset'!E145-$D$7))),1/(1+EXP(-(LN(19)/($D$7-$C$7))*('Panel Dataset'!E145-$D$7))))</f>
        <v>0.21017108555579639</v>
      </c>
      <c r="G160" s="12">
        <f>IF('Panel Dataset'!F145&gt;=$D$8,1/(1+EXP(-(LN(19)/($E$8-$D$8))*('Panel Dataset'!F145-$D$8))),1/(1+EXP(-(LN(19)/($D$8-$C$8))*('Panel Dataset'!F145-$D$8))))</f>
        <v>0.22737393315354579</v>
      </c>
      <c r="H160" s="12">
        <f>IF('Panel Dataset'!G145&gt;=$D$9,1/(1+EXP(-(LN(19)/($E$9-$D$9))*('Panel Dataset'!G145-$D$9))),1/(1+EXP(-(LN(19)/($D$9-$C$9))*('Panel Dataset'!G145-$D$9))))</f>
        <v>0.17221040772539875</v>
      </c>
      <c r="I160" s="12">
        <f>IF('Panel Dataset'!H145&gt;=$D$10,1/(1+EXP(-(LN(19)/($E$10-$D$10))*('Panel Dataset'!H145-$D$10))),1/(1+EXP(-(LN(19)/($D$10-$C$10))*('Panel Dataset'!H145-$D$10))))</f>
        <v>0.13627114777588137</v>
      </c>
      <c r="J160" s="12">
        <f>IF('Panel Dataset'!I145&gt;=$D$11,1/(1+EXP(-(LN(19)/($E$11-$D$11))*('Panel Dataset'!I145-$D$11))),1/(1+EXP(-(LN(19)/($D$11-$C$11))*('Panel Dataset'!I145-$D$11))))</f>
        <v>0.4324863710260915</v>
      </c>
    </row>
    <row r="161" spans="2:10" x14ac:dyDescent="0.3">
      <c r="B161" s="7" t="str">
        <f>'Panel Dataset'!A146</f>
        <v>NXP Semiconductors</v>
      </c>
      <c r="C161" s="7">
        <f>'Panel Dataset'!B146</f>
        <v>2019</v>
      </c>
      <c r="D161" s="12">
        <f>IF('Panel Dataset'!C146&gt;=$D$5,1/(1+EXP(-(LN(19)/($E$5-$D$5))*('Panel Dataset'!C146-$D$5))),1/(1+EXP(-(LN(19)/($D$5-$C$5))*('Panel Dataset'!C146-$D$5))))</f>
        <v>0.45040895981213236</v>
      </c>
      <c r="E161" s="12">
        <f>IF('Panel Dataset'!D146&gt;=$D$6,1/(1+EXP(-(LN(19)/($E$6-$D$6))*('Panel Dataset'!D146-$D$6))),1/(1+EXP(-(LN(19)/($D$6-$C$6))*('Panel Dataset'!D146-$D$6))))</f>
        <v>0.31761401850355708</v>
      </c>
      <c r="F161" s="12">
        <f>IF('Panel Dataset'!E146&gt;=$D$7,1/(1+EXP(-(LN(19)/($E$7-$D$7))*('Panel Dataset'!E146-$D$7))),1/(1+EXP(-(LN(19)/($D$7-$C$7))*('Panel Dataset'!E146-$D$7))))</f>
        <v>0.58483291411647376</v>
      </c>
      <c r="G161" s="12">
        <f>IF('Panel Dataset'!F146&gt;=$D$8,1/(1+EXP(-(LN(19)/($E$8-$D$8))*('Panel Dataset'!F146-$D$8))),1/(1+EXP(-(LN(19)/($D$8-$C$8))*('Panel Dataset'!F146-$D$8))))</f>
        <v>0.2841464460182942</v>
      </c>
      <c r="H161" s="12">
        <f>IF('Panel Dataset'!G146&gt;=$D$9,1/(1+EXP(-(LN(19)/($E$9-$D$9))*('Panel Dataset'!G146-$D$9))),1/(1+EXP(-(LN(19)/($D$9-$C$9))*('Panel Dataset'!G146-$D$9))))</f>
        <v>0.37779288087740986</v>
      </c>
      <c r="I161" s="12">
        <f>IF('Panel Dataset'!H146&gt;=$D$10,1/(1+EXP(-(LN(19)/($E$10-$D$10))*('Panel Dataset'!H146-$D$10))),1/(1+EXP(-(LN(19)/($D$10-$C$10))*('Panel Dataset'!H146-$D$10))))</f>
        <v>0.28857517293929313</v>
      </c>
      <c r="J161" s="12">
        <f>IF('Panel Dataset'!I146&gt;=$D$11,1/(1+EXP(-(LN(19)/($E$11-$D$11))*('Panel Dataset'!I146-$D$11))),1/(1+EXP(-(LN(19)/($D$11-$C$11))*('Panel Dataset'!I146-$D$11))))</f>
        <v>0.67893643884507948</v>
      </c>
    </row>
    <row r="162" spans="2:10" x14ac:dyDescent="0.3">
      <c r="B162" s="7" t="str">
        <f>'Panel Dataset'!A147</f>
        <v>NXP Semiconductors</v>
      </c>
      <c r="C162" s="7">
        <f>'Panel Dataset'!B147</f>
        <v>2020</v>
      </c>
      <c r="D162" s="12">
        <f>IF('Panel Dataset'!C147&gt;=$D$5,1/(1+EXP(-(LN(19)/($E$5-$D$5))*('Panel Dataset'!C147-$D$5))),1/(1+EXP(-(LN(19)/($D$5-$C$5))*('Panel Dataset'!C147-$D$5))))</f>
        <v>0.71140715140601374</v>
      </c>
      <c r="E162" s="12">
        <f>IF('Panel Dataset'!D147&gt;=$D$6,1/(1+EXP(-(LN(19)/($E$6-$D$6))*('Panel Dataset'!D147-$D$6))),1/(1+EXP(-(LN(19)/($D$6-$C$6))*('Panel Dataset'!D147-$D$6))))</f>
        <v>0.31761401850355708</v>
      </c>
      <c r="F162" s="12">
        <f>IF('Panel Dataset'!E147&gt;=$D$7,1/(1+EXP(-(LN(19)/($E$7-$D$7))*('Panel Dataset'!E147-$D$7))),1/(1+EXP(-(LN(19)/($D$7-$C$7))*('Panel Dataset'!E147-$D$7))))</f>
        <v>0.62907285131771851</v>
      </c>
      <c r="G162" s="12">
        <f>IF('Panel Dataset'!F147&gt;=$D$8,1/(1+EXP(-(LN(19)/($E$8-$D$8))*('Panel Dataset'!F147-$D$8))),1/(1+EXP(-(LN(19)/($D$8-$C$8))*('Panel Dataset'!F147-$D$8))))</f>
        <v>0.49000065343196259</v>
      </c>
      <c r="H162" s="12">
        <f>IF('Panel Dataset'!G147&gt;=$D$9,1/(1+EXP(-(LN(19)/($E$9-$D$9))*('Panel Dataset'!G147-$D$9))),1/(1+EXP(-(LN(19)/($D$9-$C$9))*('Panel Dataset'!G147-$D$9))))</f>
        <v>0.63970575932494544</v>
      </c>
      <c r="I162" s="12">
        <f>IF('Panel Dataset'!H147&gt;=$D$10,1/(1+EXP(-(LN(19)/($E$10-$D$10))*('Panel Dataset'!H147-$D$10))),1/(1+EXP(-(LN(19)/($D$10-$C$10))*('Panel Dataset'!H147-$D$10))))</f>
        <v>0.53194248224815999</v>
      </c>
      <c r="J162" s="12">
        <f>IF('Panel Dataset'!I147&gt;=$D$11,1/(1+EXP(-(LN(19)/($E$11-$D$11))*('Panel Dataset'!I147-$D$11))),1/(1+EXP(-(LN(19)/($D$11-$C$11))*('Panel Dataset'!I147-$D$11))))</f>
        <v>0.12195814560261621</v>
      </c>
    </row>
    <row r="163" spans="2:10" x14ac:dyDescent="0.3">
      <c r="B163" s="7" t="str">
        <f>'Panel Dataset'!A148</f>
        <v>NXP Semiconductors</v>
      </c>
      <c r="C163" s="7">
        <f>'Panel Dataset'!B148</f>
        <v>2021</v>
      </c>
      <c r="D163" s="12">
        <f>IF('Panel Dataset'!C148&gt;=$D$5,1/(1+EXP(-(LN(19)/($E$5-$D$5))*('Panel Dataset'!C148-$D$5))),1/(1+EXP(-(LN(19)/($D$5-$C$5))*('Panel Dataset'!C148-$D$5))))</f>
        <v>0.79030168381646737</v>
      </c>
      <c r="E163" s="12">
        <f>IF('Panel Dataset'!D148&gt;=$D$6,1/(1+EXP(-(LN(19)/($E$6-$D$6))*('Panel Dataset'!D148-$D$6))),1/(1+EXP(-(LN(19)/($D$6-$C$6))*('Panel Dataset'!D148-$D$6))))</f>
        <v>0.42265521915569082</v>
      </c>
      <c r="F163" s="12">
        <f>IF('Panel Dataset'!E148&gt;=$D$7,1/(1+EXP(-(LN(19)/($E$7-$D$7))*('Panel Dataset'!E148-$D$7))),1/(1+EXP(-(LN(19)/($D$7-$C$7))*('Panel Dataset'!E148-$D$7))))</f>
        <v>0.68296075451879446</v>
      </c>
      <c r="G163" s="12">
        <f>IF('Panel Dataset'!F148&gt;=$D$8,1/(1+EXP(-(LN(19)/($E$8-$D$8))*('Panel Dataset'!F148-$D$8))),1/(1+EXP(-(LN(19)/($D$8-$C$8))*('Panel Dataset'!F148-$D$8))))</f>
        <v>0.70242639310109367</v>
      </c>
      <c r="H163" s="12">
        <f>IF('Panel Dataset'!G148&gt;=$D$9,1/(1+EXP(-(LN(19)/($E$9-$D$9))*('Panel Dataset'!G148-$D$9))),1/(1+EXP(-(LN(19)/($D$9-$C$9))*('Panel Dataset'!G148-$D$9))))</f>
        <v>0.79333364669303164</v>
      </c>
      <c r="I163" s="12">
        <f>IF('Panel Dataset'!H148&gt;=$D$10,1/(1+EXP(-(LN(19)/($E$10-$D$10))*('Panel Dataset'!H148-$D$10))),1/(1+EXP(-(LN(19)/($D$10-$C$10))*('Panel Dataset'!H148-$D$10))))</f>
        <v>0.8714842847058144</v>
      </c>
      <c r="J163" s="12">
        <f>IF('Panel Dataset'!I148&gt;=$D$11,1/(1+EXP(-(LN(19)/($E$11-$D$11))*('Panel Dataset'!I148-$D$11))),1/(1+EXP(-(LN(19)/($D$11-$C$11))*('Panel Dataset'!I148-$D$11))))</f>
        <v>0.53233361945912638</v>
      </c>
    </row>
    <row r="164" spans="2:10" x14ac:dyDescent="0.3">
      <c r="B164" s="7" t="str">
        <f>'Panel Dataset'!A149</f>
        <v>NXP Semiconductors</v>
      </c>
      <c r="C164" s="7">
        <f>'Panel Dataset'!B149</f>
        <v>2022</v>
      </c>
      <c r="D164" s="12">
        <f>IF('Panel Dataset'!C149&gt;=$D$5,1/(1+EXP(-(LN(19)/($E$5-$D$5))*('Panel Dataset'!C149-$D$5))),1/(1+EXP(-(LN(19)/($D$5-$C$5))*('Panel Dataset'!C149-$D$5))))</f>
        <v>0.90789090472987755</v>
      </c>
      <c r="E164" s="12">
        <f>IF('Panel Dataset'!D149&gt;=$D$6,1/(1+EXP(-(LN(19)/($E$6-$D$6))*('Panel Dataset'!D149-$D$6))),1/(1+EXP(-(LN(19)/($D$6-$C$6))*('Panel Dataset'!D149-$D$6))))</f>
        <v>0.47268286254097353</v>
      </c>
      <c r="F164" s="12">
        <f>IF('Panel Dataset'!E149&gt;=$D$7,1/(1+EXP(-(LN(19)/($E$7-$D$7))*('Panel Dataset'!E149-$D$7))),1/(1+EXP(-(LN(19)/($D$7-$C$7))*('Panel Dataset'!E149-$D$7))))</f>
        <v>0.78924390319234272</v>
      </c>
      <c r="G164" s="12">
        <f>IF('Panel Dataset'!F149&gt;=$D$8,1/(1+EXP(-(LN(19)/($E$8-$D$8))*('Panel Dataset'!F149-$D$8))),1/(1+EXP(-(LN(19)/($D$8-$C$8))*('Panel Dataset'!F149-$D$8))))</f>
        <v>0.88349334747046315</v>
      </c>
      <c r="H164" s="12">
        <f>IF('Panel Dataset'!G149&gt;=$D$9,1/(1+EXP(-(LN(19)/($E$9-$D$9))*('Panel Dataset'!G149-$D$9))),1/(1+EXP(-(LN(19)/($D$9-$C$9))*('Panel Dataset'!G149-$D$9))))</f>
        <v>0.63926792509173247</v>
      </c>
      <c r="I164" s="12">
        <f>IF('Panel Dataset'!H149&gt;=$D$10,1/(1+EXP(-(LN(19)/($E$10-$D$10))*('Panel Dataset'!H149-$D$10))),1/(1+EXP(-(LN(19)/($D$10-$C$10))*('Panel Dataset'!H149-$D$10))))</f>
        <v>0.90958286234262875</v>
      </c>
      <c r="J164" s="12">
        <f>IF('Panel Dataset'!I149&gt;=$D$11,1/(1+EXP(-(LN(19)/($E$11-$D$11))*('Panel Dataset'!I149-$D$11))),1/(1+EXP(-(LN(19)/($D$11-$C$11))*('Panel Dataset'!I149-$D$11))))</f>
        <v>0.82900824170952092</v>
      </c>
    </row>
    <row r="165" spans="2:10" x14ac:dyDescent="0.3">
      <c r="B165" s="7" t="str">
        <f>'Panel Dataset'!A150</f>
        <v>NXP Semiconductors</v>
      </c>
      <c r="C165" s="7">
        <f>'Panel Dataset'!B150</f>
        <v>2023</v>
      </c>
      <c r="D165" s="12">
        <f>IF('Panel Dataset'!C150&gt;=$D$5,1/(1+EXP(-(LN(19)/($E$5-$D$5))*('Panel Dataset'!C150-$D$5))),1/(1+EXP(-(LN(19)/($D$5-$C$5))*('Panel Dataset'!C150-$D$5))))</f>
        <v>0.91875081889012056</v>
      </c>
      <c r="E165" s="12">
        <f>IF('Panel Dataset'!D150&gt;=$D$6,1/(1+EXP(-(LN(19)/($E$6-$D$6))*('Panel Dataset'!D150-$D$6))),1/(1+EXP(-(LN(19)/($D$6-$C$6))*('Panel Dataset'!D150-$D$6))))</f>
        <v>0.64985790676999056</v>
      </c>
      <c r="F165" s="12">
        <f>IF('Panel Dataset'!E150&gt;=$D$7,1/(1+EXP(-(LN(19)/($E$7-$D$7))*('Panel Dataset'!E150-$D$7))),1/(1+EXP(-(LN(19)/($D$7-$C$7))*('Panel Dataset'!E150-$D$7))))</f>
        <v>0.89908758914383025</v>
      </c>
      <c r="G165" s="12">
        <f>IF('Panel Dataset'!F150&gt;=$D$8,1/(1+EXP(-(LN(19)/($E$8-$D$8))*('Panel Dataset'!F150-$D$8))),1/(1+EXP(-(LN(19)/($D$8-$C$8))*('Panel Dataset'!F150-$D$8))))</f>
        <v>0.88233824377760361</v>
      </c>
      <c r="H165" s="12">
        <f>IF('Panel Dataset'!G150&gt;=$D$9,1/(1+EXP(-(LN(19)/($E$9-$D$9))*('Panel Dataset'!G150-$D$9))),1/(1+EXP(-(LN(19)/($D$9-$C$9))*('Panel Dataset'!G150-$D$9))))</f>
        <v>0.76629535604248289</v>
      </c>
      <c r="I165" s="12">
        <f>IF('Panel Dataset'!H150&gt;=$D$10,1/(1+EXP(-(LN(19)/($E$10-$D$10))*('Panel Dataset'!H150-$D$10))),1/(1+EXP(-(LN(19)/($D$10-$C$10))*('Panel Dataset'!H150-$D$10))))</f>
        <v>0.931384189084831</v>
      </c>
      <c r="J165" s="12">
        <f>IF('Panel Dataset'!I150&gt;=$D$11,1/(1+EXP(-(LN(19)/($E$11-$D$11))*('Panel Dataset'!I150-$D$11))),1/(1+EXP(-(LN(19)/($D$11-$C$11))*('Panel Dataset'!I150-$D$11))))</f>
        <v>0.88475753539226054</v>
      </c>
    </row>
    <row r="166" spans="2:10" x14ac:dyDescent="0.3">
      <c r="B166" s="7" t="str">
        <f>'Panel Dataset'!A151</f>
        <v>NXP Semiconductors</v>
      </c>
      <c r="C166" s="7">
        <f>'Panel Dataset'!B151</f>
        <v>2024</v>
      </c>
      <c r="D166" s="12">
        <f>IF('Panel Dataset'!C151&gt;=$D$5,1/(1+EXP(-(LN(19)/($E$5-$D$5))*('Panel Dataset'!C151-$D$5))),1/(1+EXP(-(LN(19)/($D$5-$C$5))*('Panel Dataset'!C151-$D$5))))</f>
        <v>0.8914712451519875</v>
      </c>
      <c r="E166" s="12">
        <f>IF('Panel Dataset'!D151&gt;=$D$6,1/(1+EXP(-(LN(19)/($E$6-$D$6))*('Panel Dataset'!D151-$D$6))),1/(1+EXP(-(LN(19)/($D$6-$C$6))*('Panel Dataset'!D151-$D$6))))</f>
        <v>0.82667061591843982</v>
      </c>
      <c r="F166" s="12">
        <f>IF('Panel Dataset'!E151&gt;=$D$7,1/(1+EXP(-(LN(19)/($E$7-$D$7))*('Panel Dataset'!E151-$D$7))),1/(1+EXP(-(LN(19)/($D$7-$C$7))*('Panel Dataset'!E151-$D$7))))</f>
        <v>0.93724671833573991</v>
      </c>
      <c r="G166" s="12">
        <f>IF('Panel Dataset'!F151&gt;=$D$8,1/(1+EXP(-(LN(19)/($E$8-$D$8))*('Panel Dataset'!F151-$D$8))),1/(1+EXP(-(LN(19)/($D$8-$C$8))*('Panel Dataset'!F151-$D$8))))</f>
        <v>0.92739771490658351</v>
      </c>
      <c r="H166" s="12">
        <f>IF('Panel Dataset'!G151&gt;=$D$9,1/(1+EXP(-(LN(19)/($E$9-$D$9))*('Panel Dataset'!G151-$D$9))),1/(1+EXP(-(LN(19)/($D$9-$C$9))*('Panel Dataset'!G151-$D$9))))</f>
        <v>0.8730471975817985</v>
      </c>
      <c r="I166" s="12">
        <f>IF('Panel Dataset'!H151&gt;=$D$10,1/(1+EXP(-(LN(19)/($E$10-$D$10))*('Panel Dataset'!H151-$D$10))),1/(1+EXP(-(LN(19)/($D$10-$C$10))*('Panel Dataset'!H151-$D$10))))</f>
        <v>0.94542837898413223</v>
      </c>
      <c r="J166" s="12">
        <f>IF('Panel Dataset'!I151&gt;=$D$11,1/(1+EXP(-(LN(19)/($E$11-$D$11))*('Panel Dataset'!I151-$D$11))),1/(1+EXP(-(LN(19)/($D$11-$C$11))*('Panel Dataset'!I151-$D$11))))</f>
        <v>0.97121066208531992</v>
      </c>
    </row>
    <row r="167" spans="2:10" x14ac:dyDescent="0.3">
      <c r="B167" s="7" t="str">
        <f>'Panel Dataset'!A152</f>
        <v>ON Semiconductor</v>
      </c>
      <c r="C167" s="7">
        <f>'Panel Dataset'!B152</f>
        <v>2015</v>
      </c>
      <c r="D167" s="12">
        <f>IF('Panel Dataset'!C152&gt;=$D$5,1/(1+EXP(-(LN(19)/($E$5-$D$5))*('Panel Dataset'!C152-$D$5))),1/(1+EXP(-(LN(19)/($D$5-$C$5))*('Panel Dataset'!C152-$D$5))))</f>
        <v>0.19017925252608728</v>
      </c>
      <c r="E167" s="12">
        <f>IF('Panel Dataset'!D152&gt;=$D$6,1/(1+EXP(-(LN(19)/($E$6-$D$6))*('Panel Dataset'!D152-$D$6))),1/(1+EXP(-(LN(19)/($D$6-$C$6))*('Panel Dataset'!D152-$D$6))))</f>
        <v>3.1096877755535136E-2</v>
      </c>
      <c r="F167" s="12">
        <f>IF('Panel Dataset'!E152&gt;=$D$7,1/(1+EXP(-(LN(19)/($E$7-$D$7))*('Panel Dataset'!E152-$D$7))),1/(1+EXP(-(LN(19)/($D$7-$C$7))*('Panel Dataset'!E152-$D$7))))</f>
        <v>0.10810100597918719</v>
      </c>
      <c r="G167" s="12">
        <f>IF('Panel Dataset'!F152&gt;=$D$8,1/(1+EXP(-(LN(19)/($E$8-$D$8))*('Panel Dataset'!F152-$D$8))),1/(1+EXP(-(LN(19)/($D$8-$C$8))*('Panel Dataset'!F152-$D$8))))</f>
        <v>0.15046061776701944</v>
      </c>
      <c r="H167" s="12">
        <f>IF('Panel Dataset'!G152&gt;=$D$9,1/(1+EXP(-(LN(19)/($E$9-$D$9))*('Panel Dataset'!G152-$D$9))),1/(1+EXP(-(LN(19)/($D$9-$C$9))*('Panel Dataset'!G152-$D$9))))</f>
        <v>0.19765454052991022</v>
      </c>
      <c r="I167" s="12">
        <f>IF('Panel Dataset'!H152&gt;=$D$10,1/(1+EXP(-(LN(19)/($E$10-$D$10))*('Panel Dataset'!H152-$D$10))),1/(1+EXP(-(LN(19)/($D$10-$C$10))*('Panel Dataset'!H152-$D$10))))</f>
        <v>0.16796641855863043</v>
      </c>
      <c r="J167" s="12">
        <f>IF('Panel Dataset'!I152&gt;=$D$11,1/(1+EXP(-(LN(19)/($E$11-$D$11))*('Panel Dataset'!I152-$D$11))),1/(1+EXP(-(LN(19)/($D$11-$C$11))*('Panel Dataset'!I152-$D$11))))</f>
        <v>0.46233258762970914</v>
      </c>
    </row>
    <row r="168" spans="2:10" x14ac:dyDescent="0.3">
      <c r="B168" s="7" t="str">
        <f>'Panel Dataset'!A153</f>
        <v>ON Semiconductor</v>
      </c>
      <c r="C168" s="7">
        <f>'Panel Dataset'!B153</f>
        <v>2016</v>
      </c>
      <c r="D168" s="12">
        <f>IF('Panel Dataset'!C153&gt;=$D$5,1/(1+EXP(-(LN(19)/($E$5-$D$5))*('Panel Dataset'!C153-$D$5))),1/(1+EXP(-(LN(19)/($D$5-$C$5))*('Panel Dataset'!C153-$D$5))))</f>
        <v>0.17927554777966018</v>
      </c>
      <c r="E168" s="12">
        <f>IF('Panel Dataset'!D153&gt;=$D$6,1/(1+EXP(-(LN(19)/($E$6-$D$6))*('Panel Dataset'!D153-$D$6))),1/(1+EXP(-(LN(19)/($D$6-$C$6))*('Panel Dataset'!D153-$D$6))))</f>
        <v>4.7053523434845895E-2</v>
      </c>
      <c r="F168" s="12">
        <f>IF('Panel Dataset'!E153&gt;=$D$7,1/(1+EXP(-(LN(19)/($E$7-$D$7))*('Panel Dataset'!E153-$D$7))),1/(1+EXP(-(LN(19)/($D$7-$C$7))*('Panel Dataset'!E153-$D$7))))</f>
        <v>0.11967777833363465</v>
      </c>
      <c r="G168" s="12">
        <f>IF('Panel Dataset'!F153&gt;=$D$8,1/(1+EXP(-(LN(19)/($E$8-$D$8))*('Panel Dataset'!F153-$D$8))),1/(1+EXP(-(LN(19)/($D$8-$C$8))*('Panel Dataset'!F153-$D$8))))</f>
        <v>0.18539721871411646</v>
      </c>
      <c r="H168" s="12">
        <f>IF('Panel Dataset'!G153&gt;=$D$9,1/(1+EXP(-(LN(19)/($E$9-$D$9))*('Panel Dataset'!G153-$D$9))),1/(1+EXP(-(LN(19)/($D$9-$C$9))*('Panel Dataset'!G153-$D$9))))</f>
        <v>0.22056424267963462</v>
      </c>
      <c r="I168" s="12">
        <f>IF('Panel Dataset'!H153&gt;=$D$10,1/(1+EXP(-(LN(19)/($E$10-$D$10))*('Panel Dataset'!H153-$D$10))),1/(1+EXP(-(LN(19)/($D$10-$C$10))*('Panel Dataset'!H153-$D$10))))</f>
        <v>0.15070925871221419</v>
      </c>
      <c r="J168" s="12">
        <f>IF('Panel Dataset'!I153&gt;=$D$11,1/(1+EXP(-(LN(19)/($E$11-$D$11))*('Panel Dataset'!I153-$D$11))),1/(1+EXP(-(LN(19)/($D$11-$C$11))*('Panel Dataset'!I153-$D$11))))</f>
        <v>5.7543323971037522E-2</v>
      </c>
    </row>
    <row r="169" spans="2:10" x14ac:dyDescent="0.3">
      <c r="B169" s="7" t="str">
        <f>'Panel Dataset'!A154</f>
        <v>ON Semiconductor</v>
      </c>
      <c r="C169" s="7">
        <f>'Panel Dataset'!B154</f>
        <v>2017</v>
      </c>
      <c r="D169" s="12">
        <f>IF('Panel Dataset'!C154&gt;=$D$5,1/(1+EXP(-(LN(19)/($E$5-$D$5))*('Panel Dataset'!C154-$D$5))),1/(1+EXP(-(LN(19)/($D$5-$C$5))*('Panel Dataset'!C154-$D$5))))</f>
        <v>0.20932775524480771</v>
      </c>
      <c r="E169" s="12">
        <f>IF('Panel Dataset'!D154&gt;=$D$6,1/(1+EXP(-(LN(19)/($E$6-$D$6))*('Panel Dataset'!D154-$D$6))),1/(1+EXP(-(LN(19)/($D$6-$C$6))*('Panel Dataset'!D154-$D$6))))</f>
        <v>0.10707900945763815</v>
      </c>
      <c r="F169" s="12">
        <f>IF('Panel Dataset'!E154&gt;=$D$7,1/(1+EXP(-(LN(19)/($E$7-$D$7))*('Panel Dataset'!E154-$D$7))),1/(1+EXP(-(LN(19)/($D$7-$C$7))*('Panel Dataset'!E154-$D$7))))</f>
        <v>0.24510265267080208</v>
      </c>
      <c r="G169" s="12">
        <f>IF('Panel Dataset'!F154&gt;=$D$8,1/(1+EXP(-(LN(19)/($E$8-$D$8))*('Panel Dataset'!F154-$D$8))),1/(1+EXP(-(LN(19)/($D$8-$C$8))*('Panel Dataset'!F154-$D$8))))</f>
        <v>0.18278648935071509</v>
      </c>
      <c r="H169" s="12">
        <f>IF('Panel Dataset'!G154&gt;=$D$9,1/(1+EXP(-(LN(19)/($E$9-$D$9))*('Panel Dataset'!G154-$D$9))),1/(1+EXP(-(LN(19)/($D$9-$C$9))*('Panel Dataset'!G154-$D$9))))</f>
        <v>0.35574419884466096</v>
      </c>
      <c r="I169" s="12">
        <f>IF('Panel Dataset'!H154&gt;=$D$10,1/(1+EXP(-(LN(19)/($E$10-$D$10))*('Panel Dataset'!H154-$D$10))),1/(1+EXP(-(LN(19)/($D$10-$C$10))*('Panel Dataset'!H154-$D$10))))</f>
        <v>0.18163642457588722</v>
      </c>
      <c r="J169" s="12">
        <f>IF('Panel Dataset'!I154&gt;=$D$11,1/(1+EXP(-(LN(19)/($E$11-$D$11))*('Panel Dataset'!I154-$D$11))),1/(1+EXP(-(LN(19)/($D$11-$C$11))*('Panel Dataset'!I154-$D$11))))</f>
        <v>0.11623755141219591</v>
      </c>
    </row>
    <row r="170" spans="2:10" x14ac:dyDescent="0.3">
      <c r="B170" s="7" t="str">
        <f>'Panel Dataset'!A155</f>
        <v>ON Semiconductor</v>
      </c>
      <c r="C170" s="7">
        <f>'Panel Dataset'!B155</f>
        <v>2018</v>
      </c>
      <c r="D170" s="12">
        <f>IF('Panel Dataset'!C155&gt;=$D$5,1/(1+EXP(-(LN(19)/($E$5-$D$5))*('Panel Dataset'!C155-$D$5))),1/(1+EXP(-(LN(19)/($D$5-$C$5))*('Panel Dataset'!C155-$D$5))))</f>
        <v>0.2848158922504091</v>
      </c>
      <c r="E170" s="12">
        <f>IF('Panel Dataset'!D155&gt;=$D$6,1/(1+EXP(-(LN(19)/($E$6-$D$6))*('Panel Dataset'!D155-$D$6))),1/(1+EXP(-(LN(19)/($D$6-$C$6))*('Panel Dataset'!D155-$D$6))))</f>
        <v>0.21563748233130248</v>
      </c>
      <c r="F170" s="12">
        <f>IF('Panel Dataset'!E155&gt;=$D$7,1/(1+EXP(-(LN(19)/($E$7-$D$7))*('Panel Dataset'!E155-$D$7))),1/(1+EXP(-(LN(19)/($D$7-$C$7))*('Panel Dataset'!E155-$D$7))))</f>
        <v>0.30399759576125729</v>
      </c>
      <c r="G170" s="12">
        <f>IF('Panel Dataset'!F155&gt;=$D$8,1/(1+EXP(-(LN(19)/($E$8-$D$8))*('Panel Dataset'!F155-$D$8))),1/(1+EXP(-(LN(19)/($D$8-$C$8))*('Panel Dataset'!F155-$D$8))))</f>
        <v>0.18841606741287473</v>
      </c>
      <c r="H170" s="12">
        <f>IF('Panel Dataset'!G155&gt;=$D$9,1/(1+EXP(-(LN(19)/($E$9-$D$9))*('Panel Dataset'!G155-$D$9))),1/(1+EXP(-(LN(19)/($D$9-$C$9))*('Panel Dataset'!G155-$D$9))))</f>
        <v>0.5708740102099259</v>
      </c>
      <c r="I170" s="12">
        <f>IF('Panel Dataset'!H155&gt;=$D$10,1/(1+EXP(-(LN(19)/($E$10-$D$10))*('Panel Dataset'!H155-$D$10))),1/(1+EXP(-(LN(19)/($D$10-$C$10))*('Panel Dataset'!H155-$D$10))))</f>
        <v>0.20797556611523668</v>
      </c>
      <c r="J170" s="12">
        <f>IF('Panel Dataset'!I155&gt;=$D$11,1/(1+EXP(-(LN(19)/($E$11-$D$11))*('Panel Dataset'!I155-$D$11))),1/(1+EXP(-(LN(19)/($D$11-$C$11))*('Panel Dataset'!I155-$D$11))))</f>
        <v>0.58888199315289758</v>
      </c>
    </row>
    <row r="171" spans="2:10" x14ac:dyDescent="0.3">
      <c r="B171" s="7" t="str">
        <f>'Panel Dataset'!A156</f>
        <v>ON Semiconductor</v>
      </c>
      <c r="C171" s="7">
        <f>'Panel Dataset'!B156</f>
        <v>2019</v>
      </c>
      <c r="D171" s="12">
        <f>IF('Panel Dataset'!C156&gt;=$D$5,1/(1+EXP(-(LN(19)/($E$5-$D$5))*('Panel Dataset'!C156-$D$5))),1/(1+EXP(-(LN(19)/($D$5-$C$5))*('Panel Dataset'!C156-$D$5))))</f>
        <v>0.49769139417768404</v>
      </c>
      <c r="E171" s="12">
        <f>IF('Panel Dataset'!D156&gt;=$D$6,1/(1+EXP(-(LN(19)/($E$6-$D$6))*('Panel Dataset'!D156-$D$6))),1/(1+EXP(-(LN(19)/($D$6-$C$6))*('Panel Dataset'!D156-$D$6))))</f>
        <v>0.21274550846319445</v>
      </c>
      <c r="F171" s="12">
        <f>IF('Panel Dataset'!E156&gt;=$D$7,1/(1+EXP(-(LN(19)/($E$7-$D$7))*('Panel Dataset'!E156-$D$7))),1/(1+EXP(-(LN(19)/($D$7-$C$7))*('Panel Dataset'!E156-$D$7))))</f>
        <v>0.51916251187740625</v>
      </c>
      <c r="G171" s="12">
        <f>IF('Panel Dataset'!F156&gt;=$D$8,1/(1+EXP(-(LN(19)/($E$8-$D$8))*('Panel Dataset'!F156-$D$8))),1/(1+EXP(-(LN(19)/($D$8-$C$8))*('Panel Dataset'!F156-$D$8))))</f>
        <v>0.26607688744056368</v>
      </c>
      <c r="H171" s="12">
        <f>IF('Panel Dataset'!G156&gt;=$D$9,1/(1+EXP(-(LN(19)/($E$9-$D$9))*('Panel Dataset'!G156-$D$9))),1/(1+EXP(-(LN(19)/($D$9-$C$9))*('Panel Dataset'!G156-$D$9))))</f>
        <v>0.70797022599587145</v>
      </c>
      <c r="I171" s="12">
        <f>IF('Panel Dataset'!H156&gt;=$D$10,1/(1+EXP(-(LN(19)/($E$10-$D$10))*('Panel Dataset'!H156-$D$10))),1/(1+EXP(-(LN(19)/($D$10-$C$10))*('Panel Dataset'!H156-$D$10))))</f>
        <v>0.36888962754905447</v>
      </c>
      <c r="J171" s="12">
        <f>IF('Panel Dataset'!I156&gt;=$D$11,1/(1+EXP(-(LN(19)/($E$11-$D$11))*('Panel Dataset'!I156-$D$11))),1/(1+EXP(-(LN(19)/($D$11-$C$11))*('Panel Dataset'!I156-$D$11))))</f>
        <v>0.26282777653291045</v>
      </c>
    </row>
    <row r="172" spans="2:10" x14ac:dyDescent="0.3">
      <c r="B172" s="7" t="str">
        <f>'Panel Dataset'!A157</f>
        <v>ON Semiconductor</v>
      </c>
      <c r="C172" s="7">
        <f>'Panel Dataset'!B157</f>
        <v>2020</v>
      </c>
      <c r="D172" s="12">
        <f>IF('Panel Dataset'!C157&gt;=$D$5,1/(1+EXP(-(LN(19)/($E$5-$D$5))*('Panel Dataset'!C157-$D$5))),1/(1+EXP(-(LN(19)/($D$5-$C$5))*('Panel Dataset'!C157-$D$5))))</f>
        <v>0.72950758738522403</v>
      </c>
      <c r="E172" s="12">
        <f>IF('Panel Dataset'!D157&gt;=$D$6,1/(1+EXP(-(LN(19)/($E$6-$D$6))*('Panel Dataset'!D157-$D$6))),1/(1+EXP(-(LN(19)/($D$6-$C$6))*('Panel Dataset'!D157-$D$6))))</f>
        <v>0.25838056257717068</v>
      </c>
      <c r="F172" s="12">
        <f>IF('Panel Dataset'!E157&gt;=$D$7,1/(1+EXP(-(LN(19)/($E$7-$D$7))*('Panel Dataset'!E157-$D$7))),1/(1+EXP(-(LN(19)/($D$7-$C$7))*('Panel Dataset'!E157-$D$7))))</f>
        <v>0.64412098617661606</v>
      </c>
      <c r="G172" s="12">
        <f>IF('Panel Dataset'!F157&gt;=$D$8,1/(1+EXP(-(LN(19)/($E$8-$D$8))*('Panel Dataset'!F157-$D$8))),1/(1+EXP(-(LN(19)/($D$8-$C$8))*('Panel Dataset'!F157-$D$8))))</f>
        <v>0.62597079559550994</v>
      </c>
      <c r="H172" s="12">
        <f>IF('Panel Dataset'!G157&gt;=$D$9,1/(1+EXP(-(LN(19)/($E$9-$D$9))*('Panel Dataset'!G157-$D$9))),1/(1+EXP(-(LN(19)/($D$9-$C$9))*('Panel Dataset'!G157-$D$9))))</f>
        <v>0.86282029403141147</v>
      </c>
      <c r="I172" s="12">
        <f>IF('Panel Dataset'!H157&gt;=$D$10,1/(1+EXP(-(LN(19)/($E$10-$D$10))*('Panel Dataset'!H157-$D$10))),1/(1+EXP(-(LN(19)/($D$10-$C$10))*('Panel Dataset'!H157-$D$10))))</f>
        <v>0.60649369721796353</v>
      </c>
      <c r="J172" s="12">
        <f>IF('Panel Dataset'!I157&gt;=$D$11,1/(1+EXP(-(LN(19)/($E$11-$D$11))*('Panel Dataset'!I157-$D$11))),1/(1+EXP(-(LN(19)/($D$11-$C$11))*('Panel Dataset'!I157-$D$11))))</f>
        <v>4.1536872624316629E-2</v>
      </c>
    </row>
    <row r="173" spans="2:10" x14ac:dyDescent="0.3">
      <c r="B173" s="7" t="str">
        <f>'Panel Dataset'!A158</f>
        <v>ON Semiconductor</v>
      </c>
      <c r="C173" s="7">
        <f>'Panel Dataset'!B158</f>
        <v>2021</v>
      </c>
      <c r="D173" s="12">
        <f>IF('Panel Dataset'!C158&gt;=$D$5,1/(1+EXP(-(LN(19)/($E$5-$D$5))*('Panel Dataset'!C158-$D$5))),1/(1+EXP(-(LN(19)/($D$5-$C$5))*('Panel Dataset'!C158-$D$5))))</f>
        <v>0.91581427797349479</v>
      </c>
      <c r="E173" s="12">
        <f>IF('Panel Dataset'!D158&gt;=$D$6,1/(1+EXP(-(LN(19)/($E$6-$D$6))*('Panel Dataset'!D158-$D$6))),1/(1+EXP(-(LN(19)/($D$6-$C$6))*('Panel Dataset'!D158-$D$6))))</f>
        <v>0.43076133110929943</v>
      </c>
      <c r="F173" s="12">
        <f>IF('Panel Dataset'!E158&gt;=$D$7,1/(1+EXP(-(LN(19)/($E$7-$D$7))*('Panel Dataset'!E158-$D$7))),1/(1+EXP(-(LN(19)/($D$7-$C$7))*('Panel Dataset'!E158-$D$7))))</f>
        <v>0.79146312765671556</v>
      </c>
      <c r="G173" s="12">
        <f>IF('Panel Dataset'!F158&gt;=$D$8,1/(1+EXP(-(LN(19)/($E$8-$D$8))*('Panel Dataset'!F158-$D$8))),1/(1+EXP(-(LN(19)/($D$8-$C$8))*('Panel Dataset'!F158-$D$8))))</f>
        <v>0.83046269504270687</v>
      </c>
      <c r="H173" s="12">
        <f>IF('Panel Dataset'!G158&gt;=$D$9,1/(1+EXP(-(LN(19)/($E$9-$D$9))*('Panel Dataset'!G158-$D$9))),1/(1+EXP(-(LN(19)/($D$9-$C$9))*('Panel Dataset'!G158-$D$9))))</f>
        <v>0.92169702067197523</v>
      </c>
      <c r="I173" s="12">
        <f>IF('Panel Dataset'!H158&gt;=$D$10,1/(1+EXP(-(LN(19)/($E$10-$D$10))*('Panel Dataset'!H158-$D$10))),1/(1+EXP(-(LN(19)/($D$10-$C$10))*('Panel Dataset'!H158-$D$10))))</f>
        <v>0.807293140024953</v>
      </c>
      <c r="J173" s="12">
        <f>IF('Panel Dataset'!I158&gt;=$D$11,1/(1+EXP(-(LN(19)/($E$11-$D$11))*('Panel Dataset'!I158-$D$11))),1/(1+EXP(-(LN(19)/($D$11-$C$11))*('Panel Dataset'!I158-$D$11))))</f>
        <v>0.89096169573362727</v>
      </c>
    </row>
    <row r="174" spans="2:10" x14ac:dyDescent="0.3">
      <c r="B174" s="7" t="str">
        <f>'Panel Dataset'!A159</f>
        <v>ON Semiconductor</v>
      </c>
      <c r="C174" s="7">
        <f>'Panel Dataset'!B159</f>
        <v>2022</v>
      </c>
      <c r="D174" s="12">
        <f>IF('Panel Dataset'!C159&gt;=$D$5,1/(1+EXP(-(LN(19)/($E$5-$D$5))*('Panel Dataset'!C159-$D$5))),1/(1+EXP(-(LN(19)/($D$5-$C$5))*('Panel Dataset'!C159-$D$5))))</f>
        <v>0.92966577066829492</v>
      </c>
      <c r="E174" s="12">
        <f>IF('Panel Dataset'!D159&gt;=$D$6,1/(1+EXP(-(LN(19)/($E$6-$D$6))*('Panel Dataset'!D159-$D$6))),1/(1+EXP(-(LN(19)/($D$6-$C$6))*('Panel Dataset'!D159-$D$6))))</f>
        <v>0.55041760378357207</v>
      </c>
      <c r="F174" s="12">
        <f>IF('Panel Dataset'!E159&gt;=$D$7,1/(1+EXP(-(LN(19)/($E$7-$D$7))*('Panel Dataset'!E159-$D$7))),1/(1+EXP(-(LN(19)/($D$7-$C$7))*('Panel Dataset'!E159-$D$7))))</f>
        <v>0.82296758343666976</v>
      </c>
      <c r="G174" s="12">
        <f>IF('Panel Dataset'!F159&gt;=$D$8,1/(1+EXP(-(LN(19)/($E$8-$D$8))*('Panel Dataset'!F159-$D$8))),1/(1+EXP(-(LN(19)/($D$8-$C$8))*('Panel Dataset'!F159-$D$8))))</f>
        <v>0.87627842222171315</v>
      </c>
      <c r="H174" s="12">
        <f>IF('Panel Dataset'!G159&gt;=$D$9,1/(1+EXP(-(LN(19)/($E$9-$D$9))*('Panel Dataset'!G159-$D$9))),1/(1+EXP(-(LN(19)/($D$9-$C$9))*('Panel Dataset'!G159-$D$9))))</f>
        <v>0.89481327257518628</v>
      </c>
      <c r="I174" s="12">
        <f>IF('Panel Dataset'!H159&gt;=$D$10,1/(1+EXP(-(LN(19)/($E$10-$D$10))*('Panel Dataset'!H159-$D$10))),1/(1+EXP(-(LN(19)/($D$10-$C$10))*('Panel Dataset'!H159-$D$10))))</f>
        <v>0.89393447236144885</v>
      </c>
      <c r="J174" s="12">
        <f>IF('Panel Dataset'!I159&gt;=$D$11,1/(1+EXP(-(LN(19)/($E$11-$D$11))*('Panel Dataset'!I159-$D$11))),1/(1+EXP(-(LN(19)/($D$11-$C$11))*('Panel Dataset'!I159-$D$11))))</f>
        <v>0.82622956857882091</v>
      </c>
    </row>
    <row r="175" spans="2:10" x14ac:dyDescent="0.3">
      <c r="B175" s="7" t="str">
        <f>'Panel Dataset'!A160</f>
        <v>ON Semiconductor</v>
      </c>
      <c r="C175" s="7">
        <f>'Panel Dataset'!B160</f>
        <v>2023</v>
      </c>
      <c r="D175" s="12">
        <f>IF('Panel Dataset'!C160&gt;=$D$5,1/(1+EXP(-(LN(19)/($E$5-$D$5))*('Panel Dataset'!C160-$D$5))),1/(1+EXP(-(LN(19)/($D$5-$C$5))*('Panel Dataset'!C160-$D$5))))</f>
        <v>0.95428545805645837</v>
      </c>
      <c r="E175" s="12">
        <f>IF('Panel Dataset'!D160&gt;=$D$6,1/(1+EXP(-(LN(19)/($E$6-$D$6))*('Panel Dataset'!D160-$D$6))),1/(1+EXP(-(LN(19)/($D$6-$C$6))*('Panel Dataset'!D160-$D$6))))</f>
        <v>0.66396347038708459</v>
      </c>
      <c r="F175" s="12">
        <f>IF('Panel Dataset'!E160&gt;=$D$7,1/(1+EXP(-(LN(19)/($E$7-$D$7))*('Panel Dataset'!E160-$D$7))),1/(1+EXP(-(LN(19)/($D$7-$C$7))*('Panel Dataset'!E160-$D$7))))</f>
        <v>0.91457419953534902</v>
      </c>
      <c r="G175" s="12">
        <f>IF('Panel Dataset'!F160&gt;=$D$8,1/(1+EXP(-(LN(19)/($E$8-$D$8))*('Panel Dataset'!F160-$D$8))),1/(1+EXP(-(LN(19)/($D$8-$C$8))*('Panel Dataset'!F160-$D$8))))</f>
        <v>0.94114976984532683</v>
      </c>
      <c r="H175" s="12">
        <f>IF('Panel Dataset'!G160&gt;=$D$9,1/(1+EXP(-(LN(19)/($E$9-$D$9))*('Panel Dataset'!G160-$D$9))),1/(1+EXP(-(LN(19)/($D$9-$C$9))*('Panel Dataset'!G160-$D$9))))</f>
        <v>0.88782461247316091</v>
      </c>
      <c r="I175" s="12">
        <f>IF('Panel Dataset'!H160&gt;=$D$10,1/(1+EXP(-(LN(19)/($E$10-$D$10))*('Panel Dataset'!H160-$D$10))),1/(1+EXP(-(LN(19)/($D$10-$C$10))*('Panel Dataset'!H160-$D$10))))</f>
        <v>0.93337653697744127</v>
      </c>
      <c r="J175" s="12">
        <f>IF('Panel Dataset'!I160&gt;=$D$11,1/(1+EXP(-(LN(19)/($E$11-$D$11))*('Panel Dataset'!I160-$D$11))),1/(1+EXP(-(LN(19)/($D$11-$C$11))*('Panel Dataset'!I160-$D$11))))</f>
        <v>0.8913395566168173</v>
      </c>
    </row>
    <row r="176" spans="2:10" x14ac:dyDescent="0.3">
      <c r="B176" s="7" t="str">
        <f>'Panel Dataset'!A161</f>
        <v>ON Semiconductor</v>
      </c>
      <c r="C176" s="7">
        <f>'Panel Dataset'!B161</f>
        <v>2024</v>
      </c>
      <c r="D176" s="12">
        <f>IF('Panel Dataset'!C161&gt;=$D$5,1/(1+EXP(-(LN(19)/($E$5-$D$5))*('Panel Dataset'!C161-$D$5))),1/(1+EXP(-(LN(19)/($D$5-$C$5))*('Panel Dataset'!C161-$D$5))))</f>
        <v>0.96637176516704493</v>
      </c>
      <c r="E176" s="12">
        <f>IF('Panel Dataset'!D161&gt;=$D$6,1/(1+EXP(-(LN(19)/($E$6-$D$6))*('Panel Dataset'!D161-$D$6))),1/(1+EXP(-(LN(19)/($D$6-$C$6))*('Panel Dataset'!D161-$D$6))))</f>
        <v>0.8014368581909278</v>
      </c>
      <c r="F176" s="12">
        <f>IF('Panel Dataset'!E161&gt;=$D$7,1/(1+EXP(-(LN(19)/($E$7-$D$7))*('Panel Dataset'!E161-$D$7))),1/(1+EXP(-(LN(19)/($D$7-$C$7))*('Panel Dataset'!E161-$D$7))))</f>
        <v>0.96471444740618617</v>
      </c>
      <c r="G176" s="12">
        <f>IF('Panel Dataset'!F161&gt;=$D$8,1/(1+EXP(-(LN(19)/($E$8-$D$8))*('Panel Dataset'!F161-$D$8))),1/(1+EXP(-(LN(19)/($D$8-$C$8))*('Panel Dataset'!F161-$D$8))))</f>
        <v>0.94590999970063139</v>
      </c>
      <c r="H176" s="12">
        <f>IF('Panel Dataset'!G161&gt;=$D$9,1/(1+EXP(-(LN(19)/($E$9-$D$9))*('Panel Dataset'!G161-$D$9))),1/(1+EXP(-(LN(19)/($D$9-$C$9))*('Panel Dataset'!G161-$D$9))))</f>
        <v>0.94989901885307382</v>
      </c>
      <c r="I176" s="12">
        <f>IF('Panel Dataset'!H161&gt;=$D$10,1/(1+EXP(-(LN(19)/($E$10-$D$10))*('Panel Dataset'!H161-$D$10))),1/(1+EXP(-(LN(19)/($D$10-$C$10))*('Panel Dataset'!H161-$D$10))))</f>
        <v>0.93361197692526776</v>
      </c>
      <c r="J176" s="12">
        <f>IF('Panel Dataset'!I161&gt;=$D$11,1/(1+EXP(-(LN(19)/($E$11-$D$11))*('Panel Dataset'!I161-$D$11))),1/(1+EXP(-(LN(19)/($D$11-$C$11))*('Panel Dataset'!I161-$D$11))))</f>
        <v>0.92007745928143803</v>
      </c>
    </row>
    <row r="177" spans="2:10" x14ac:dyDescent="0.3">
      <c r="B177" s="7" t="str">
        <f>'Panel Dataset'!A162</f>
        <v>Qorvo Inc.</v>
      </c>
      <c r="C177" s="7">
        <f>'Panel Dataset'!B162</f>
        <v>2015</v>
      </c>
      <c r="D177" s="12">
        <f>IF('Panel Dataset'!C162&gt;=$D$5,1/(1+EXP(-(LN(19)/($E$5-$D$5))*('Panel Dataset'!C162-$D$5))),1/(1+EXP(-(LN(19)/($D$5-$C$5))*('Panel Dataset'!C162-$D$5))))</f>
        <v>0.29121662184626673</v>
      </c>
      <c r="E177" s="12">
        <f>IF('Panel Dataset'!D162&gt;=$D$6,1/(1+EXP(-(LN(19)/($E$6-$D$6))*('Panel Dataset'!D162-$D$6))),1/(1+EXP(-(LN(19)/($D$6-$C$6))*('Panel Dataset'!D162-$D$6))))</f>
        <v>6.2888048226274279E-2</v>
      </c>
      <c r="F177" s="12">
        <f>IF('Panel Dataset'!E162&gt;=$D$7,1/(1+EXP(-(LN(19)/($E$7-$D$7))*('Panel Dataset'!E162-$D$7))),1/(1+EXP(-(LN(19)/($D$7-$C$7))*('Panel Dataset'!E162-$D$7))))</f>
        <v>0.29596214012245614</v>
      </c>
      <c r="G177" s="12">
        <f>IF('Panel Dataset'!F162&gt;=$D$8,1/(1+EXP(-(LN(19)/($E$8-$D$8))*('Panel Dataset'!F162-$D$8))),1/(1+EXP(-(LN(19)/($D$8-$C$8))*('Panel Dataset'!F162-$D$8))))</f>
        <v>0.21205363302445901</v>
      </c>
      <c r="H177" s="12">
        <f>IF('Panel Dataset'!G162&gt;=$D$9,1/(1+EXP(-(LN(19)/($E$9-$D$9))*('Panel Dataset'!G162-$D$9))),1/(1+EXP(-(LN(19)/($D$9-$C$9))*('Panel Dataset'!G162-$D$9))))</f>
        <v>0.34665712980456936</v>
      </c>
      <c r="I177" s="12">
        <f>IF('Panel Dataset'!H162&gt;=$D$10,1/(1+EXP(-(LN(19)/($E$10-$D$10))*('Panel Dataset'!H162-$D$10))),1/(1+EXP(-(LN(19)/($D$10-$C$10))*('Panel Dataset'!H162-$D$10))))</f>
        <v>0.24302305924396561</v>
      </c>
      <c r="J177" s="12">
        <f>IF('Panel Dataset'!I162&gt;=$D$11,1/(1+EXP(-(LN(19)/($E$11-$D$11))*('Panel Dataset'!I162-$D$11))),1/(1+EXP(-(LN(19)/($D$11-$C$11))*('Panel Dataset'!I162-$D$11))))</f>
        <v>0.21943812186324996</v>
      </c>
    </row>
    <row r="178" spans="2:10" x14ac:dyDescent="0.3">
      <c r="B178" s="7" t="str">
        <f>'Panel Dataset'!A163</f>
        <v>Qorvo Inc.</v>
      </c>
      <c r="C178" s="7">
        <f>'Panel Dataset'!B163</f>
        <v>2016</v>
      </c>
      <c r="D178" s="12">
        <f>IF('Panel Dataset'!C163&gt;=$D$5,1/(1+EXP(-(LN(19)/($E$5-$D$5))*('Panel Dataset'!C163-$D$5))),1/(1+EXP(-(LN(19)/($D$5-$C$5))*('Panel Dataset'!C163-$D$5))))</f>
        <v>0.28227943740285039</v>
      </c>
      <c r="E178" s="12">
        <f>IF('Panel Dataset'!D163&gt;=$D$6,1/(1+EXP(-(LN(19)/($E$6-$D$6))*('Panel Dataset'!D163-$D$6))),1/(1+EXP(-(LN(19)/($D$6-$C$6))*('Panel Dataset'!D163-$D$6))))</f>
        <v>7.784881580149268E-2</v>
      </c>
      <c r="F178" s="12">
        <f>IF('Panel Dataset'!E163&gt;=$D$7,1/(1+EXP(-(LN(19)/($E$7-$D$7))*('Panel Dataset'!E163-$D$7))),1/(1+EXP(-(LN(19)/($D$7-$C$7))*('Panel Dataset'!E163-$D$7))))</f>
        <v>0.33646421890747291</v>
      </c>
      <c r="G178" s="12">
        <f>IF('Panel Dataset'!F163&gt;=$D$8,1/(1+EXP(-(LN(19)/($E$8-$D$8))*('Panel Dataset'!F163-$D$8))),1/(1+EXP(-(LN(19)/($D$8-$C$8))*('Panel Dataset'!F163-$D$8))))</f>
        <v>0.30267450696479531</v>
      </c>
      <c r="H178" s="12">
        <f>IF('Panel Dataset'!G163&gt;=$D$9,1/(1+EXP(-(LN(19)/($E$9-$D$9))*('Panel Dataset'!G163-$D$9))),1/(1+EXP(-(LN(19)/($D$9-$C$9))*('Panel Dataset'!G163-$D$9))))</f>
        <v>0.53379487223400968</v>
      </c>
      <c r="I178" s="12">
        <f>IF('Panel Dataset'!H163&gt;=$D$10,1/(1+EXP(-(LN(19)/($E$10-$D$10))*('Panel Dataset'!H163-$D$10))),1/(1+EXP(-(LN(19)/($D$10-$C$10))*('Panel Dataset'!H163-$D$10))))</f>
        <v>0.32041097207446495</v>
      </c>
      <c r="J178" s="12">
        <f>IF('Panel Dataset'!I163&gt;=$D$11,1/(1+EXP(-(LN(19)/($E$11-$D$11))*('Panel Dataset'!I163-$D$11))),1/(1+EXP(-(LN(19)/($D$11-$C$11))*('Panel Dataset'!I163-$D$11))))</f>
        <v>0.10439565854037168</v>
      </c>
    </row>
    <row r="179" spans="2:10" x14ac:dyDescent="0.3">
      <c r="B179" s="7" t="str">
        <f>'Panel Dataset'!A164</f>
        <v>Qorvo Inc.</v>
      </c>
      <c r="C179" s="7">
        <f>'Panel Dataset'!B164</f>
        <v>2017</v>
      </c>
      <c r="D179" s="12">
        <f>IF('Panel Dataset'!C164&gt;=$D$5,1/(1+EXP(-(LN(19)/($E$5-$D$5))*('Panel Dataset'!C164-$D$5))),1/(1+EXP(-(LN(19)/($D$5-$C$5))*('Panel Dataset'!C164-$D$5))))</f>
        <v>0.28659954727363307</v>
      </c>
      <c r="E179" s="12">
        <f>IF('Panel Dataset'!D164&gt;=$D$6,1/(1+EXP(-(LN(19)/($E$6-$D$6))*('Panel Dataset'!D164-$D$6))),1/(1+EXP(-(LN(19)/($D$6-$C$6))*('Panel Dataset'!D164-$D$6))))</f>
        <v>0.1370657007317729</v>
      </c>
      <c r="F179" s="12">
        <f>IF('Panel Dataset'!E164&gt;=$D$7,1/(1+EXP(-(LN(19)/($E$7-$D$7))*('Panel Dataset'!E164-$D$7))),1/(1+EXP(-(LN(19)/($D$7-$C$7))*('Panel Dataset'!E164-$D$7))))</f>
        <v>0.60648796138089789</v>
      </c>
      <c r="G179" s="12">
        <f>IF('Panel Dataset'!F164&gt;=$D$8,1/(1+EXP(-(LN(19)/($E$8-$D$8))*('Panel Dataset'!F164-$D$8))),1/(1+EXP(-(LN(19)/($D$8-$C$8))*('Panel Dataset'!F164-$D$8))))</f>
        <v>0.29745943378174</v>
      </c>
      <c r="H179" s="12">
        <f>IF('Panel Dataset'!G164&gt;=$D$9,1/(1+EXP(-(LN(19)/($E$9-$D$9))*('Panel Dataset'!G164-$D$9))),1/(1+EXP(-(LN(19)/($D$9-$C$9))*('Panel Dataset'!G164-$D$9))))</f>
        <v>0.72946267478023696</v>
      </c>
      <c r="I179" s="12">
        <f>IF('Panel Dataset'!H164&gt;=$D$10,1/(1+EXP(-(LN(19)/($E$10-$D$10))*('Panel Dataset'!H164-$D$10))),1/(1+EXP(-(LN(19)/($D$10-$C$10))*('Panel Dataset'!H164-$D$10))))</f>
        <v>0.31356888756244344</v>
      </c>
      <c r="J179" s="12">
        <f>IF('Panel Dataset'!I164&gt;=$D$11,1/(1+EXP(-(LN(19)/($E$11-$D$11))*('Panel Dataset'!I164-$D$11))),1/(1+EXP(-(LN(19)/($D$11-$C$11))*('Panel Dataset'!I164-$D$11))))</f>
        <v>0.64940931950705749</v>
      </c>
    </row>
    <row r="180" spans="2:10" x14ac:dyDescent="0.3">
      <c r="B180" s="7" t="str">
        <f>'Panel Dataset'!A165</f>
        <v>Qorvo Inc.</v>
      </c>
      <c r="C180" s="7">
        <f>'Panel Dataset'!B165</f>
        <v>2018</v>
      </c>
      <c r="D180" s="12">
        <f>IF('Panel Dataset'!C165&gt;=$D$5,1/(1+EXP(-(LN(19)/($E$5-$D$5))*('Panel Dataset'!C165-$D$5))),1/(1+EXP(-(LN(19)/($D$5-$C$5))*('Panel Dataset'!C165-$D$5))))</f>
        <v>0.44855521250965064</v>
      </c>
      <c r="E180" s="12">
        <f>IF('Panel Dataset'!D165&gt;=$D$6,1/(1+EXP(-(LN(19)/($E$6-$D$6))*('Panel Dataset'!D165-$D$6))),1/(1+EXP(-(LN(19)/($D$6-$C$6))*('Panel Dataset'!D165-$D$6))))</f>
        <v>0.20846081081375722</v>
      </c>
      <c r="F180" s="12">
        <f>IF('Panel Dataset'!E165&gt;=$D$7,1/(1+EXP(-(LN(19)/($E$7-$D$7))*('Panel Dataset'!E165-$D$7))),1/(1+EXP(-(LN(19)/($D$7-$C$7))*('Panel Dataset'!E165-$D$7))))</f>
        <v>0.66274933636745692</v>
      </c>
      <c r="G180" s="12">
        <f>IF('Panel Dataset'!F165&gt;=$D$8,1/(1+EXP(-(LN(19)/($E$8-$D$8))*('Panel Dataset'!F165-$D$8))),1/(1+EXP(-(LN(19)/($D$8-$C$8))*('Panel Dataset'!F165-$D$8))))</f>
        <v>0.37186903223700013</v>
      </c>
      <c r="H180" s="12">
        <f>IF('Panel Dataset'!G165&gt;=$D$9,1/(1+EXP(-(LN(19)/($E$9-$D$9))*('Panel Dataset'!G165-$D$9))),1/(1+EXP(-(LN(19)/($D$9-$C$9))*('Panel Dataset'!G165-$D$9))))</f>
        <v>0.73872970868479826</v>
      </c>
      <c r="I180" s="12">
        <f>IF('Panel Dataset'!H165&gt;=$D$10,1/(1+EXP(-(LN(19)/($E$10-$D$10))*('Panel Dataset'!H165-$D$10))),1/(1+EXP(-(LN(19)/($D$10-$C$10))*('Panel Dataset'!H165-$D$10))))</f>
        <v>0.35026217320769154</v>
      </c>
      <c r="J180" s="12">
        <f>IF('Panel Dataset'!I165&gt;=$D$11,1/(1+EXP(-(LN(19)/($E$11-$D$11))*('Panel Dataset'!I165-$D$11))),1/(1+EXP(-(LN(19)/($D$11-$C$11))*('Panel Dataset'!I165-$D$11))))</f>
        <v>0.56703169009732479</v>
      </c>
    </row>
    <row r="181" spans="2:10" x14ac:dyDescent="0.3">
      <c r="B181" s="7" t="str">
        <f>'Panel Dataset'!A166</f>
        <v>Qorvo Inc.</v>
      </c>
      <c r="C181" s="7">
        <f>'Panel Dataset'!B166</f>
        <v>2019</v>
      </c>
      <c r="D181" s="12">
        <f>IF('Panel Dataset'!C166&gt;=$D$5,1/(1+EXP(-(LN(19)/($E$5-$D$5))*('Panel Dataset'!C166-$D$5))),1/(1+EXP(-(LN(19)/($D$5-$C$5))*('Panel Dataset'!C166-$D$5))))</f>
        <v>0.61573123731330448</v>
      </c>
      <c r="E181" s="12">
        <f>IF('Panel Dataset'!D166&gt;=$D$6,1/(1+EXP(-(LN(19)/($E$6-$D$6))*('Panel Dataset'!D166-$D$6))),1/(1+EXP(-(LN(19)/($D$6-$C$6))*('Panel Dataset'!D166-$D$6))))</f>
        <v>0.25673774848237185</v>
      </c>
      <c r="F181" s="12">
        <f>IF('Panel Dataset'!E166&gt;=$D$7,1/(1+EXP(-(LN(19)/($E$7-$D$7))*('Panel Dataset'!E166-$D$7))),1/(1+EXP(-(LN(19)/($D$7-$C$7))*('Panel Dataset'!E166-$D$7))))</f>
        <v>0.66017859574634385</v>
      </c>
      <c r="G181" s="12">
        <f>IF('Panel Dataset'!F166&gt;=$D$8,1/(1+EXP(-(LN(19)/($E$8-$D$8))*('Panel Dataset'!F166-$D$8))),1/(1+EXP(-(LN(19)/($D$8-$C$8))*('Panel Dataset'!F166-$D$8))))</f>
        <v>0.57963814938868052</v>
      </c>
      <c r="H181" s="12">
        <f>IF('Panel Dataset'!G166&gt;=$D$9,1/(1+EXP(-(LN(19)/($E$9-$D$9))*('Panel Dataset'!G166-$D$9))),1/(1+EXP(-(LN(19)/($D$9-$C$9))*('Panel Dataset'!G166-$D$9))))</f>
        <v>0.73689281097533699</v>
      </c>
      <c r="I181" s="12">
        <f>IF('Panel Dataset'!H166&gt;=$D$10,1/(1+EXP(-(LN(19)/($E$10-$D$10))*('Panel Dataset'!H166-$D$10))),1/(1+EXP(-(LN(19)/($D$10-$C$10))*('Panel Dataset'!H166-$D$10))))</f>
        <v>0.29563254670529682</v>
      </c>
      <c r="J181" s="12">
        <f>IF('Panel Dataset'!I166&gt;=$D$11,1/(1+EXP(-(LN(19)/($E$11-$D$11))*('Panel Dataset'!I166-$D$11))),1/(1+EXP(-(LN(19)/($D$11-$C$11))*('Panel Dataset'!I166-$D$11))))</f>
        <v>0.51581795166864453</v>
      </c>
    </row>
    <row r="182" spans="2:10" x14ac:dyDescent="0.3">
      <c r="B182" s="7" t="str">
        <f>'Panel Dataset'!A167</f>
        <v>Qorvo Inc.</v>
      </c>
      <c r="C182" s="7">
        <f>'Panel Dataset'!B167</f>
        <v>2020</v>
      </c>
      <c r="D182" s="12">
        <f>IF('Panel Dataset'!C167&gt;=$D$5,1/(1+EXP(-(LN(19)/($E$5-$D$5))*('Panel Dataset'!C167-$D$5))),1/(1+EXP(-(LN(19)/($D$5-$C$5))*('Panel Dataset'!C167-$D$5))))</f>
        <v>0.86100701776191091</v>
      </c>
      <c r="E182" s="12">
        <f>IF('Panel Dataset'!D167&gt;=$D$6,1/(1+EXP(-(LN(19)/($E$6-$D$6))*('Panel Dataset'!D167-$D$6))),1/(1+EXP(-(LN(19)/($D$6-$C$6))*('Panel Dataset'!D167-$D$6))))</f>
        <v>0.60220999498381533</v>
      </c>
      <c r="F182" s="12">
        <f>IF('Panel Dataset'!E167&gt;=$D$7,1/(1+EXP(-(LN(19)/($E$7-$D$7))*('Panel Dataset'!E167-$D$7))),1/(1+EXP(-(LN(19)/($D$7-$C$7))*('Panel Dataset'!E167-$D$7))))</f>
        <v>0.85085387129166845</v>
      </c>
      <c r="G182" s="12">
        <f>IF('Panel Dataset'!F167&gt;=$D$8,1/(1+EXP(-(LN(19)/($E$8-$D$8))*('Panel Dataset'!F167-$D$8))),1/(1+EXP(-(LN(19)/($D$8-$C$8))*('Panel Dataset'!F167-$D$8))))</f>
        <v>0.80182047425352021</v>
      </c>
      <c r="H182" s="12">
        <f>IF('Panel Dataset'!G167&gt;=$D$9,1/(1+EXP(-(LN(19)/($E$9-$D$9))*('Panel Dataset'!G167-$D$9))),1/(1+EXP(-(LN(19)/($D$9-$C$9))*('Panel Dataset'!G167-$D$9))))</f>
        <v>0.94388860581100109</v>
      </c>
      <c r="I182" s="12">
        <f>IF('Panel Dataset'!H167&gt;=$D$10,1/(1+EXP(-(LN(19)/($E$10-$D$10))*('Panel Dataset'!H167-$D$10))),1/(1+EXP(-(LN(19)/($D$10-$C$10))*('Panel Dataset'!H167-$D$10))))</f>
        <v>0.69945428771193086</v>
      </c>
      <c r="J182" s="12">
        <f>IF('Panel Dataset'!I167&gt;=$D$11,1/(1+EXP(-(LN(19)/($E$11-$D$11))*('Panel Dataset'!I167-$D$11))),1/(1+EXP(-(LN(19)/($D$11-$C$11))*('Panel Dataset'!I167-$D$11))))</f>
        <v>0.22892208401364628</v>
      </c>
    </row>
    <row r="183" spans="2:10" x14ac:dyDescent="0.3">
      <c r="B183" s="7" t="str">
        <f>'Panel Dataset'!A168</f>
        <v>Qorvo Inc.</v>
      </c>
      <c r="C183" s="7">
        <f>'Panel Dataset'!B168</f>
        <v>2021</v>
      </c>
      <c r="D183" s="12">
        <f>IF('Panel Dataset'!C168&gt;=$D$5,1/(1+EXP(-(LN(19)/($E$5-$D$5))*('Panel Dataset'!C168-$D$5))),1/(1+EXP(-(LN(19)/($D$5-$C$5))*('Panel Dataset'!C168-$D$5))))</f>
        <v>0.94709848980174283</v>
      </c>
      <c r="E183" s="12">
        <f>IF('Panel Dataset'!D168&gt;=$D$6,1/(1+EXP(-(LN(19)/($E$6-$D$6))*('Panel Dataset'!D168-$D$6))),1/(1+EXP(-(LN(19)/($D$6-$C$6))*('Panel Dataset'!D168-$D$6))))</f>
        <v>0.57127186174683919</v>
      </c>
      <c r="F183" s="12">
        <f>IF('Panel Dataset'!E168&gt;=$D$7,1/(1+EXP(-(LN(19)/($E$7-$D$7))*('Panel Dataset'!E168-$D$7))),1/(1+EXP(-(LN(19)/($D$7-$C$7))*('Panel Dataset'!E168-$D$7))))</f>
        <v>0.91472356871419203</v>
      </c>
      <c r="G183" s="12">
        <f>IF('Panel Dataset'!F168&gt;=$D$8,1/(1+EXP(-(LN(19)/($E$8-$D$8))*('Panel Dataset'!F168-$D$8))),1/(1+EXP(-(LN(19)/($D$8-$C$8))*('Panel Dataset'!F168-$D$8))))</f>
        <v>0.90797393734158316</v>
      </c>
      <c r="H183" s="12">
        <f>IF('Panel Dataset'!G168&gt;=$D$9,1/(1+EXP(-(LN(19)/($E$9-$D$9))*('Panel Dataset'!G168-$D$9))),1/(1+EXP(-(LN(19)/($D$9-$C$9))*('Panel Dataset'!G168-$D$9))))</f>
        <v>0.95759001868000593</v>
      </c>
      <c r="I183" s="12">
        <f>IF('Panel Dataset'!H168&gt;=$D$10,1/(1+EXP(-(LN(19)/($E$10-$D$10))*('Panel Dataset'!H168-$D$10))),1/(1+EXP(-(LN(19)/($D$10-$C$10))*('Panel Dataset'!H168-$D$10))))</f>
        <v>0.94330332318250099</v>
      </c>
      <c r="J183" s="12">
        <f>IF('Panel Dataset'!I168&gt;=$D$11,1/(1+EXP(-(LN(19)/($E$11-$D$11))*('Panel Dataset'!I168-$D$11))),1/(1+EXP(-(LN(19)/($D$11-$C$11))*('Panel Dataset'!I168-$D$11))))</f>
        <v>0.77483506381016942</v>
      </c>
    </row>
    <row r="184" spans="2:10" x14ac:dyDescent="0.3">
      <c r="B184" s="7" t="str">
        <f>'Panel Dataset'!A169</f>
        <v>Qorvo Inc.</v>
      </c>
      <c r="C184" s="7">
        <f>'Panel Dataset'!B169</f>
        <v>2022</v>
      </c>
      <c r="D184" s="12">
        <f>IF('Panel Dataset'!C169&gt;=$D$5,1/(1+EXP(-(LN(19)/($E$5-$D$5))*('Panel Dataset'!C169-$D$5))),1/(1+EXP(-(LN(19)/($D$5-$C$5))*('Panel Dataset'!C169-$D$5))))</f>
        <v>0.96229642378860647</v>
      </c>
      <c r="E184" s="12">
        <f>IF('Panel Dataset'!D169&gt;=$D$6,1/(1+EXP(-(LN(19)/($E$6-$D$6))*('Panel Dataset'!D169-$D$6))),1/(1+EXP(-(LN(19)/($D$6-$C$6))*('Panel Dataset'!D169-$D$6))))</f>
        <v>0.6783183765662687</v>
      </c>
      <c r="F184" s="12">
        <f>IF('Panel Dataset'!E169&gt;=$D$7,1/(1+EXP(-(LN(19)/($E$7-$D$7))*('Panel Dataset'!E169-$D$7))),1/(1+EXP(-(LN(19)/($D$7-$C$7))*('Panel Dataset'!E169-$D$7))))</f>
        <v>0.9526743356402404</v>
      </c>
      <c r="G184" s="12">
        <f>IF('Panel Dataset'!F169&gt;=$D$8,1/(1+EXP(-(LN(19)/($E$8-$D$8))*('Panel Dataset'!F169-$D$8))),1/(1+EXP(-(LN(19)/($D$8-$C$8))*('Panel Dataset'!F169-$D$8))))</f>
        <v>0.93883906547651852</v>
      </c>
      <c r="H184" s="12">
        <f>IF('Panel Dataset'!G169&gt;=$D$9,1/(1+EXP(-(LN(19)/($E$9-$D$9))*('Panel Dataset'!G169-$D$9))),1/(1+EXP(-(LN(19)/($D$9-$C$9))*('Panel Dataset'!G169-$D$9))))</f>
        <v>0.94644719002275424</v>
      </c>
      <c r="I184" s="12">
        <f>IF('Panel Dataset'!H169&gt;=$D$10,1/(1+EXP(-(LN(19)/($E$10-$D$10))*('Panel Dataset'!H169-$D$10))),1/(1+EXP(-(LN(19)/($D$10-$C$10))*('Panel Dataset'!H169-$D$10))))</f>
        <v>0.96367097110872668</v>
      </c>
      <c r="J184" s="12">
        <f>IF('Panel Dataset'!I169&gt;=$D$11,1/(1+EXP(-(LN(19)/($E$11-$D$11))*('Panel Dataset'!I169-$D$11))),1/(1+EXP(-(LN(19)/($D$11-$C$11))*('Panel Dataset'!I169-$D$11))))</f>
        <v>0.95466111641247065</v>
      </c>
    </row>
    <row r="185" spans="2:10" x14ac:dyDescent="0.3">
      <c r="B185" s="7" t="str">
        <f>'Panel Dataset'!A170</f>
        <v>Qorvo Inc.</v>
      </c>
      <c r="C185" s="7">
        <f>'Panel Dataset'!B170</f>
        <v>2023</v>
      </c>
      <c r="D185" s="12">
        <f>IF('Panel Dataset'!C170&gt;=$D$5,1/(1+EXP(-(LN(19)/($E$5-$D$5))*('Panel Dataset'!C170-$D$5))),1/(1+EXP(-(LN(19)/($D$5-$C$5))*('Panel Dataset'!C170-$D$5))))</f>
        <v>0.97663231643176773</v>
      </c>
      <c r="E185" s="12">
        <f>IF('Panel Dataset'!D170&gt;=$D$6,1/(1+EXP(-(LN(19)/($E$6-$D$6))*('Panel Dataset'!D170-$D$6))),1/(1+EXP(-(LN(19)/($D$6-$C$6))*('Panel Dataset'!D170-$D$6))))</f>
        <v>0.83730423851846913</v>
      </c>
      <c r="F185" s="12">
        <f>IF('Panel Dataset'!E170&gt;=$D$7,1/(1+EXP(-(LN(19)/($E$7-$D$7))*('Panel Dataset'!E170-$D$7))),1/(1+EXP(-(LN(19)/($D$7-$C$7))*('Panel Dataset'!E170-$D$7))))</f>
        <v>0.96753094415117058</v>
      </c>
      <c r="G185" s="12">
        <f>IF('Panel Dataset'!F170&gt;=$D$8,1/(1+EXP(-(LN(19)/($E$8-$D$8))*('Panel Dataset'!F170-$D$8))),1/(1+EXP(-(LN(19)/($D$8-$C$8))*('Panel Dataset'!F170-$D$8))))</f>
        <v>0.96775362993879965</v>
      </c>
      <c r="H185" s="12">
        <f>IF('Panel Dataset'!G170&gt;=$D$9,1/(1+EXP(-(LN(19)/($E$9-$D$9))*('Panel Dataset'!G170-$D$9))),1/(1+EXP(-(LN(19)/($D$9-$C$9))*('Panel Dataset'!G170-$D$9))))</f>
        <v>0.97739107093157374</v>
      </c>
      <c r="I185" s="12">
        <f>IF('Panel Dataset'!H170&gt;=$D$10,1/(1+EXP(-(LN(19)/($E$10-$D$10))*('Panel Dataset'!H170-$D$10))),1/(1+EXP(-(LN(19)/($D$10-$C$10))*('Panel Dataset'!H170-$D$10))))</f>
        <v>0.97099156133788533</v>
      </c>
      <c r="J185" s="12">
        <f>IF('Panel Dataset'!I170&gt;=$D$11,1/(1+EXP(-(LN(19)/($E$11-$D$11))*('Panel Dataset'!I170-$D$11))),1/(1+EXP(-(LN(19)/($D$11-$C$11))*('Panel Dataset'!I170-$D$11))))</f>
        <v>0.99253272049213692</v>
      </c>
    </row>
    <row r="186" spans="2:10" x14ac:dyDescent="0.3">
      <c r="B186" s="7" t="str">
        <f>'Panel Dataset'!A171</f>
        <v>Qorvo Inc.</v>
      </c>
      <c r="C186" s="7">
        <f>'Panel Dataset'!B171</f>
        <v>2024</v>
      </c>
      <c r="D186" s="12">
        <f>IF('Panel Dataset'!C171&gt;=$D$5,1/(1+EXP(-(LN(19)/($E$5-$D$5))*('Panel Dataset'!C171-$D$5))),1/(1+EXP(-(LN(19)/($D$5-$C$5))*('Panel Dataset'!C171-$D$5))))</f>
        <v>0.97433471638616165</v>
      </c>
      <c r="E186" s="12">
        <f>IF('Panel Dataset'!D171&gt;=$D$6,1/(1+EXP(-(LN(19)/($E$6-$D$6))*('Panel Dataset'!D171-$D$6))),1/(1+EXP(-(LN(19)/($D$6-$C$6))*('Panel Dataset'!D171-$D$6))))</f>
        <v>0.85908048279152127</v>
      </c>
      <c r="F186" s="12">
        <f>IF('Panel Dataset'!E171&gt;=$D$7,1/(1+EXP(-(LN(19)/($E$7-$D$7))*('Panel Dataset'!E171-$D$7))),1/(1+EXP(-(LN(19)/($D$7-$C$7))*('Panel Dataset'!E171-$D$7))))</f>
        <v>0.97464104307133259</v>
      </c>
      <c r="G186" s="12">
        <f>IF('Panel Dataset'!F171&gt;=$D$8,1/(1+EXP(-(LN(19)/($E$8-$D$8))*('Panel Dataset'!F171-$D$8))),1/(1+EXP(-(LN(19)/($D$8-$C$8))*('Panel Dataset'!F171-$D$8))))</f>
        <v>0.96616732839820074</v>
      </c>
      <c r="H186" s="12">
        <f>IF('Panel Dataset'!G171&gt;=$D$9,1/(1+EXP(-(LN(19)/($E$9-$D$9))*('Panel Dataset'!G171-$D$9))),1/(1+EXP(-(LN(19)/($D$9-$C$9))*('Panel Dataset'!G171-$D$9))))</f>
        <v>0.97591934593427565</v>
      </c>
      <c r="I186" s="12">
        <f>IF('Panel Dataset'!H171&gt;=$D$10,1/(1+EXP(-(LN(19)/($E$10-$D$10))*('Panel Dataset'!H171-$D$10))),1/(1+EXP(-(LN(19)/($D$10-$C$10))*('Panel Dataset'!H171-$D$10))))</f>
        <v>0.96737083590435069</v>
      </c>
      <c r="J186" s="12">
        <f>IF('Panel Dataset'!I171&gt;=$D$11,1/(1+EXP(-(LN(19)/($E$11-$D$11))*('Panel Dataset'!I171-$D$11))),1/(1+EXP(-(LN(19)/($D$11-$C$11))*('Panel Dataset'!I171-$D$11))))</f>
        <v>0.98658166507918943</v>
      </c>
    </row>
    <row r="187" spans="2:10" x14ac:dyDescent="0.3">
      <c r="B187" s="7" t="str">
        <f>'Panel Dataset'!A172</f>
        <v>Qualcomm Incorporated</v>
      </c>
      <c r="C187" s="7">
        <f>'Panel Dataset'!B172</f>
        <v>2015</v>
      </c>
      <c r="D187" s="12">
        <f>IF('Panel Dataset'!C172&gt;=$D$5,1/(1+EXP(-(LN(19)/($E$5-$D$5))*('Panel Dataset'!C172-$D$5))),1/(1+EXP(-(LN(19)/($D$5-$C$5))*('Panel Dataset'!C172-$D$5))))</f>
        <v>0.10105950297844438</v>
      </c>
      <c r="E187" s="12">
        <f>IF('Panel Dataset'!D172&gt;=$D$6,1/(1+EXP(-(LN(19)/($E$6-$D$6))*('Panel Dataset'!D172-$D$6))),1/(1+EXP(-(LN(19)/($D$6-$C$6))*('Panel Dataset'!D172-$D$6))))</f>
        <v>4.0633271896599606E-2</v>
      </c>
      <c r="F187" s="12">
        <f>IF('Panel Dataset'!E172&gt;=$D$7,1/(1+EXP(-(LN(19)/($E$7-$D$7))*('Panel Dataset'!E172-$D$7))),1/(1+EXP(-(LN(19)/($D$7-$C$7))*('Panel Dataset'!E172-$D$7))))</f>
        <v>0.11472918781140531</v>
      </c>
      <c r="G187" s="12">
        <f>IF('Panel Dataset'!F172&gt;=$D$8,1/(1+EXP(-(LN(19)/($E$8-$D$8))*('Panel Dataset'!F172-$D$8))),1/(1+EXP(-(LN(19)/($D$8-$C$8))*('Panel Dataset'!F172-$D$8))))</f>
        <v>0.12352788123646559</v>
      </c>
      <c r="H187" s="12">
        <f>IF('Panel Dataset'!G172&gt;=$D$9,1/(1+EXP(-(LN(19)/($E$9-$D$9))*('Panel Dataset'!G172-$D$9))),1/(1+EXP(-(LN(19)/($D$9-$C$9))*('Panel Dataset'!G172-$D$9))))</f>
        <v>7.1791252724719604E-2</v>
      </c>
      <c r="I187" s="12">
        <f>IF('Panel Dataset'!H172&gt;=$D$10,1/(1+EXP(-(LN(19)/($E$10-$D$10))*('Panel Dataset'!H172-$D$10))),1/(1+EXP(-(LN(19)/($D$10-$C$10))*('Panel Dataset'!H172-$D$10))))</f>
        <v>0.13028500119552644</v>
      </c>
      <c r="J187" s="12">
        <f>IF('Panel Dataset'!I172&gt;=$D$11,1/(1+EXP(-(LN(19)/($E$11-$D$11))*('Panel Dataset'!I172-$D$11))),1/(1+EXP(-(LN(19)/($D$11-$C$11))*('Panel Dataset'!I172-$D$11))))</f>
        <v>0.18202772103999459</v>
      </c>
    </row>
    <row r="188" spans="2:10" x14ac:dyDescent="0.3">
      <c r="B188" s="7" t="str">
        <f>'Panel Dataset'!A173</f>
        <v>Qualcomm Incorporated</v>
      </c>
      <c r="C188" s="7">
        <f>'Panel Dataset'!B173</f>
        <v>2016</v>
      </c>
      <c r="D188" s="12">
        <f>IF('Panel Dataset'!C173&gt;=$D$5,1/(1+EXP(-(LN(19)/($E$5-$D$5))*('Panel Dataset'!C173-$D$5))),1/(1+EXP(-(LN(19)/($D$5-$C$5))*('Panel Dataset'!C173-$D$5))))</f>
        <v>8.8238358944424319E-2</v>
      </c>
      <c r="E188" s="12">
        <f>IF('Panel Dataset'!D173&gt;=$D$6,1/(1+EXP(-(LN(19)/($E$6-$D$6))*('Panel Dataset'!D173-$D$6))),1/(1+EXP(-(LN(19)/($D$6-$C$6))*('Panel Dataset'!D173-$D$6))))</f>
        <v>5.4052890469999691E-2</v>
      </c>
      <c r="F188" s="12">
        <f>IF('Panel Dataset'!E173&gt;=$D$7,1/(1+EXP(-(LN(19)/($E$7-$D$7))*('Panel Dataset'!E173-$D$7))),1/(1+EXP(-(LN(19)/($D$7-$C$7))*('Panel Dataset'!E173-$D$7))))</f>
        <v>0.13972904534844485</v>
      </c>
      <c r="G188" s="12">
        <f>IF('Panel Dataset'!F173&gt;=$D$8,1/(1+EXP(-(LN(19)/($E$8-$D$8))*('Panel Dataset'!F173-$D$8))),1/(1+EXP(-(LN(19)/($D$8-$C$8))*('Panel Dataset'!F173-$D$8))))</f>
        <v>0.13083046320503802</v>
      </c>
      <c r="H188" s="12">
        <f>IF('Panel Dataset'!G173&gt;=$D$9,1/(1+EXP(-(LN(19)/($E$9-$D$9))*('Panel Dataset'!G173-$D$9))),1/(1+EXP(-(LN(19)/($D$9-$C$9))*('Panel Dataset'!G173-$D$9))))</f>
        <v>0.16319944118670901</v>
      </c>
      <c r="I188" s="12">
        <f>IF('Panel Dataset'!H173&gt;=$D$10,1/(1+EXP(-(LN(19)/($E$10-$D$10))*('Panel Dataset'!H173-$D$10))),1/(1+EXP(-(LN(19)/($D$10-$C$10))*('Panel Dataset'!H173-$D$10))))</f>
        <v>0.21879515271901451</v>
      </c>
      <c r="J188" s="12">
        <f>IF('Panel Dataset'!I173&gt;=$D$11,1/(1+EXP(-(LN(19)/($E$11-$D$11))*('Panel Dataset'!I173-$D$11))),1/(1+EXP(-(LN(19)/($D$11-$C$11))*('Panel Dataset'!I173-$D$11))))</f>
        <v>0.14058878197917696</v>
      </c>
    </row>
    <row r="189" spans="2:10" x14ac:dyDescent="0.3">
      <c r="B189" s="7" t="str">
        <f>'Panel Dataset'!A174</f>
        <v>Qualcomm Incorporated</v>
      </c>
      <c r="C189" s="7">
        <f>'Panel Dataset'!B174</f>
        <v>2017</v>
      </c>
      <c r="D189" s="12">
        <f>IF('Panel Dataset'!C174&gt;=$D$5,1/(1+EXP(-(LN(19)/($E$5-$D$5))*('Panel Dataset'!C174-$D$5))),1/(1+EXP(-(LN(19)/($D$5-$C$5))*('Panel Dataset'!C174-$D$5))))</f>
        <v>0.10989012067059047</v>
      </c>
      <c r="E189" s="12">
        <f>IF('Panel Dataset'!D174&gt;=$D$6,1/(1+EXP(-(LN(19)/($E$6-$D$6))*('Panel Dataset'!D174-$D$6))),1/(1+EXP(-(LN(19)/($D$6-$C$6))*('Panel Dataset'!D174-$D$6))))</f>
        <v>0.12147203184818987</v>
      </c>
      <c r="F189" s="12">
        <f>IF('Panel Dataset'!E174&gt;=$D$7,1/(1+EXP(-(LN(19)/($E$7-$D$7))*('Panel Dataset'!E174-$D$7))),1/(1+EXP(-(LN(19)/($D$7-$C$7))*('Panel Dataset'!E174-$D$7))))</f>
        <v>0.29397261493912352</v>
      </c>
      <c r="G189" s="12">
        <f>IF('Panel Dataset'!F174&gt;=$D$8,1/(1+EXP(-(LN(19)/($E$8-$D$8))*('Panel Dataset'!F174-$D$8))),1/(1+EXP(-(LN(19)/($D$8-$C$8))*('Panel Dataset'!F174-$D$8))))</f>
        <v>0.1243366716369463</v>
      </c>
      <c r="H189" s="12">
        <f>IF('Panel Dataset'!G174&gt;=$D$9,1/(1+EXP(-(LN(19)/($E$9-$D$9))*('Panel Dataset'!G174-$D$9))),1/(1+EXP(-(LN(19)/($D$9-$C$9))*('Panel Dataset'!G174-$D$9))))</f>
        <v>0.14943167832545634</v>
      </c>
      <c r="I189" s="12">
        <f>IF('Panel Dataset'!H174&gt;=$D$10,1/(1+EXP(-(LN(19)/($E$10-$D$10))*('Panel Dataset'!H174-$D$10))),1/(1+EXP(-(LN(19)/($D$10-$C$10))*('Panel Dataset'!H174-$D$10))))</f>
        <v>0.18371253419683073</v>
      </c>
      <c r="J189" s="12">
        <f>IF('Panel Dataset'!I174&gt;=$D$11,1/(1+EXP(-(LN(19)/($E$11-$D$11))*('Panel Dataset'!I174-$D$11))),1/(1+EXP(-(LN(19)/($D$11-$C$11))*('Panel Dataset'!I174-$D$11))))</f>
        <v>0.38729556222605682</v>
      </c>
    </row>
    <row r="190" spans="2:10" x14ac:dyDescent="0.3">
      <c r="B190" s="7" t="str">
        <f>'Panel Dataset'!A175</f>
        <v>Qualcomm Incorporated</v>
      </c>
      <c r="C190" s="7">
        <f>'Panel Dataset'!B175</f>
        <v>2018</v>
      </c>
      <c r="D190" s="12">
        <f>IF('Panel Dataset'!C175&gt;=$D$5,1/(1+EXP(-(LN(19)/($E$5-$D$5))*('Panel Dataset'!C175-$D$5))),1/(1+EXP(-(LN(19)/($D$5-$C$5))*('Panel Dataset'!C175-$D$5))))</f>
        <v>0.13827849579977181</v>
      </c>
      <c r="E190" s="12">
        <f>IF('Panel Dataset'!D175&gt;=$D$6,1/(1+EXP(-(LN(19)/($E$6-$D$6))*('Panel Dataset'!D175-$D$6))),1/(1+EXP(-(LN(19)/($D$6-$C$6))*('Panel Dataset'!D175-$D$6))))</f>
        <v>0.14133009448117462</v>
      </c>
      <c r="F190" s="12">
        <f>IF('Panel Dataset'!E175&gt;=$D$7,1/(1+EXP(-(LN(19)/($E$7-$D$7))*('Panel Dataset'!E175-$D$7))),1/(1+EXP(-(LN(19)/($D$7-$C$7))*('Panel Dataset'!E175-$D$7))))</f>
        <v>0.42082718703576993</v>
      </c>
      <c r="G190" s="12">
        <f>IF('Panel Dataset'!F175&gt;=$D$8,1/(1+EXP(-(LN(19)/($E$8-$D$8))*('Panel Dataset'!F175-$D$8))),1/(1+EXP(-(LN(19)/($D$8-$C$8))*('Panel Dataset'!F175-$D$8))))</f>
        <v>0.16685541488581537</v>
      </c>
      <c r="H190" s="12">
        <f>IF('Panel Dataset'!G175&gt;=$D$9,1/(1+EXP(-(LN(19)/($E$9-$D$9))*('Panel Dataset'!G175-$D$9))),1/(1+EXP(-(LN(19)/($D$9-$C$9))*('Panel Dataset'!G175-$D$9))))</f>
        <v>0.28214833368015735</v>
      </c>
      <c r="I190" s="12">
        <f>IF('Panel Dataset'!H175&gt;=$D$10,1/(1+EXP(-(LN(19)/($E$10-$D$10))*('Panel Dataset'!H175-$D$10))),1/(1+EXP(-(LN(19)/($D$10-$C$10))*('Panel Dataset'!H175-$D$10))))</f>
        <v>0.27401052144562715</v>
      </c>
      <c r="J190" s="12">
        <f>IF('Panel Dataset'!I175&gt;=$D$11,1/(1+EXP(-(LN(19)/($E$11-$D$11))*('Panel Dataset'!I175-$D$11))),1/(1+EXP(-(LN(19)/($D$11-$C$11))*('Panel Dataset'!I175-$D$11))))</f>
        <v>0.23307385065498767</v>
      </c>
    </row>
    <row r="191" spans="2:10" x14ac:dyDescent="0.3">
      <c r="B191" s="7" t="str">
        <f>'Panel Dataset'!A176</f>
        <v>Qualcomm Incorporated</v>
      </c>
      <c r="C191" s="7">
        <f>'Panel Dataset'!B176</f>
        <v>2019</v>
      </c>
      <c r="D191" s="12">
        <f>IF('Panel Dataset'!C176&gt;=$D$5,1/(1+EXP(-(LN(19)/($E$5-$D$5))*('Panel Dataset'!C176-$D$5))),1/(1+EXP(-(LN(19)/($D$5-$C$5))*('Panel Dataset'!C176-$D$5))))</f>
        <v>0.29070145364451733</v>
      </c>
      <c r="E191" s="12">
        <f>IF('Panel Dataset'!D176&gt;=$D$6,1/(1+EXP(-(LN(19)/($E$6-$D$6))*('Panel Dataset'!D176-$D$6))),1/(1+EXP(-(LN(19)/($D$6-$C$6))*('Panel Dataset'!D176-$D$6))))</f>
        <v>0.15495129289824833</v>
      </c>
      <c r="F191" s="12">
        <f>IF('Panel Dataset'!E176&gt;=$D$7,1/(1+EXP(-(LN(19)/($E$7-$D$7))*('Panel Dataset'!E176-$D$7))),1/(1+EXP(-(LN(19)/($D$7-$C$7))*('Panel Dataset'!E176-$D$7))))</f>
        <v>0.36698909273651054</v>
      </c>
      <c r="G191" s="12">
        <f>IF('Panel Dataset'!F176&gt;=$D$8,1/(1+EXP(-(LN(19)/($E$8-$D$8))*('Panel Dataset'!F176-$D$8))),1/(1+EXP(-(LN(19)/($D$8-$C$8))*('Panel Dataset'!F176-$D$8))))</f>
        <v>0.30215067451218797</v>
      </c>
      <c r="H191" s="12">
        <f>IF('Panel Dataset'!G176&gt;=$D$9,1/(1+EXP(-(LN(19)/($E$9-$D$9))*('Panel Dataset'!G176-$D$9))),1/(1+EXP(-(LN(19)/($D$9-$C$9))*('Panel Dataset'!G176-$D$9))))</f>
        <v>0.28061227077618245</v>
      </c>
      <c r="I191" s="12">
        <f>IF('Panel Dataset'!H176&gt;=$D$10,1/(1+EXP(-(LN(19)/($E$10-$D$10))*('Panel Dataset'!H176-$D$10))),1/(1+EXP(-(LN(19)/($D$10-$C$10))*('Panel Dataset'!H176-$D$10))))</f>
        <v>0.36039669902195831</v>
      </c>
      <c r="J191" s="12">
        <f>IF('Panel Dataset'!I176&gt;=$D$11,1/(1+EXP(-(LN(19)/($E$11-$D$11))*('Panel Dataset'!I176-$D$11))),1/(1+EXP(-(LN(19)/($D$11-$C$11))*('Panel Dataset'!I176-$D$11))))</f>
        <v>0.44495565735180187</v>
      </c>
    </row>
    <row r="192" spans="2:10" x14ac:dyDescent="0.3">
      <c r="B192" s="7" t="str">
        <f>'Panel Dataset'!A177</f>
        <v>Qualcomm Incorporated</v>
      </c>
      <c r="C192" s="7">
        <f>'Panel Dataset'!B177</f>
        <v>2020</v>
      </c>
      <c r="D192" s="12">
        <f>IF('Panel Dataset'!C177&gt;=$D$5,1/(1+EXP(-(LN(19)/($E$5-$D$5))*('Panel Dataset'!C177-$D$5))),1/(1+EXP(-(LN(19)/($D$5-$C$5))*('Panel Dataset'!C177-$D$5))))</f>
        <v>0.46839198157477308</v>
      </c>
      <c r="E192" s="12">
        <f>IF('Panel Dataset'!D177&gt;=$D$6,1/(1+EXP(-(LN(19)/($E$6-$D$6))*('Panel Dataset'!D177-$D$6))),1/(1+EXP(-(LN(19)/($D$6-$C$6))*('Panel Dataset'!D177-$D$6))))</f>
        <v>0.2242701269010875</v>
      </c>
      <c r="F192" s="12">
        <f>IF('Panel Dataset'!E177&gt;=$D$7,1/(1+EXP(-(LN(19)/($E$7-$D$7))*('Panel Dataset'!E177-$D$7))),1/(1+EXP(-(LN(19)/($D$7-$C$7))*('Panel Dataset'!E177-$D$7))))</f>
        <v>0.71004594139416644</v>
      </c>
      <c r="G192" s="12">
        <f>IF('Panel Dataset'!F177&gt;=$D$8,1/(1+EXP(-(LN(19)/($E$8-$D$8))*('Panel Dataset'!F177-$D$8))),1/(1+EXP(-(LN(19)/($D$8-$C$8))*('Panel Dataset'!F177-$D$8))))</f>
        <v>0.5296939156639292</v>
      </c>
      <c r="H192" s="12">
        <f>IF('Panel Dataset'!G177&gt;=$D$9,1/(1+EXP(-(LN(19)/($E$9-$D$9))*('Panel Dataset'!G177-$D$9))),1/(1+EXP(-(LN(19)/($D$9-$C$9))*('Panel Dataset'!G177-$D$9))))</f>
        <v>0.67726074790387025</v>
      </c>
      <c r="I192" s="12">
        <f>IF('Panel Dataset'!H177&gt;=$D$10,1/(1+EXP(-(LN(19)/($E$10-$D$10))*('Panel Dataset'!H177-$D$10))),1/(1+EXP(-(LN(19)/($D$10-$C$10))*('Panel Dataset'!H177-$D$10))))</f>
        <v>0.55701933505714574</v>
      </c>
      <c r="J192" s="12">
        <f>IF('Panel Dataset'!I177&gt;=$D$11,1/(1+EXP(-(LN(19)/($E$11-$D$11))*('Panel Dataset'!I177-$D$11))),1/(1+EXP(-(LN(19)/($D$11-$C$11))*('Panel Dataset'!I177-$D$11))))</f>
        <v>0.18029416889152808</v>
      </c>
    </row>
    <row r="193" spans="2:10" x14ac:dyDescent="0.3">
      <c r="B193" s="7" t="str">
        <f>'Panel Dataset'!A178</f>
        <v>Qualcomm Incorporated</v>
      </c>
      <c r="C193" s="7">
        <f>'Panel Dataset'!B178</f>
        <v>2021</v>
      </c>
      <c r="D193" s="12">
        <f>IF('Panel Dataset'!C178&gt;=$D$5,1/(1+EXP(-(LN(19)/($E$5-$D$5))*('Panel Dataset'!C178-$D$5))),1/(1+EXP(-(LN(19)/($D$5-$C$5))*('Panel Dataset'!C178-$D$5))))</f>
        <v>0.76596314222057493</v>
      </c>
      <c r="E193" s="12">
        <f>IF('Panel Dataset'!D178&gt;=$D$6,1/(1+EXP(-(LN(19)/($E$6-$D$6))*('Panel Dataset'!D178-$D$6))),1/(1+EXP(-(LN(19)/($D$6-$C$6))*('Panel Dataset'!D178-$D$6))))</f>
        <v>0.46168514654904219</v>
      </c>
      <c r="F193" s="12">
        <f>IF('Panel Dataset'!E178&gt;=$D$7,1/(1+EXP(-(LN(19)/($E$7-$D$7))*('Panel Dataset'!E178-$D$7))),1/(1+EXP(-(LN(19)/($D$7-$C$7))*('Panel Dataset'!E178-$D$7))))</f>
        <v>0.70450012468944301</v>
      </c>
      <c r="G193" s="12">
        <f>IF('Panel Dataset'!F178&gt;=$D$8,1/(1+EXP(-(LN(19)/($E$8-$D$8))*('Panel Dataset'!F178-$D$8))),1/(1+EXP(-(LN(19)/($D$8-$C$8))*('Panel Dataset'!F178-$D$8))))</f>
        <v>0.75437571453273633</v>
      </c>
      <c r="H193" s="12">
        <f>IF('Panel Dataset'!G178&gt;=$D$9,1/(1+EXP(-(LN(19)/($E$9-$D$9))*('Panel Dataset'!G178-$D$9))),1/(1+EXP(-(LN(19)/($D$9-$C$9))*('Panel Dataset'!G178-$D$9))))</f>
        <v>0.80312015010758275</v>
      </c>
      <c r="I193" s="12">
        <f>IF('Panel Dataset'!H178&gt;=$D$10,1/(1+EXP(-(LN(19)/($E$10-$D$10))*('Panel Dataset'!H178-$D$10))),1/(1+EXP(-(LN(19)/($D$10-$C$10))*('Panel Dataset'!H178-$D$10))))</f>
        <v>0.88239168317491168</v>
      </c>
      <c r="J193" s="12">
        <f>IF('Panel Dataset'!I178&gt;=$D$11,1/(1+EXP(-(LN(19)/($E$11-$D$11))*('Panel Dataset'!I178-$D$11))),1/(1+EXP(-(LN(19)/($D$11-$C$11))*('Panel Dataset'!I178-$D$11))))</f>
        <v>0.67893643884507948</v>
      </c>
    </row>
    <row r="194" spans="2:10" x14ac:dyDescent="0.3">
      <c r="B194" s="7" t="str">
        <f>'Panel Dataset'!A179</f>
        <v>Qualcomm Incorporated</v>
      </c>
      <c r="C194" s="7">
        <f>'Panel Dataset'!B179</f>
        <v>2022</v>
      </c>
      <c r="D194" s="12">
        <f>IF('Panel Dataset'!C179&gt;=$D$5,1/(1+EXP(-(LN(19)/($E$5-$D$5))*('Panel Dataset'!C179-$D$5))),1/(1+EXP(-(LN(19)/($D$5-$C$5))*('Panel Dataset'!C179-$D$5))))</f>
        <v>0.88566183843702295</v>
      </c>
      <c r="E194" s="12">
        <f>IF('Panel Dataset'!D179&gt;=$D$6,1/(1+EXP(-(LN(19)/($E$6-$D$6))*('Panel Dataset'!D179-$D$6))),1/(1+EXP(-(LN(19)/($D$6-$C$6))*('Panel Dataset'!D179-$D$6))))</f>
        <v>0.51928367237662931</v>
      </c>
      <c r="F194" s="12">
        <f>IF('Panel Dataset'!E179&gt;=$D$7,1/(1+EXP(-(LN(19)/($E$7-$D$7))*('Panel Dataset'!E179-$D$7))),1/(1+EXP(-(LN(19)/($D$7-$C$7))*('Panel Dataset'!E179-$D$7))))</f>
        <v>0.89926105437304005</v>
      </c>
      <c r="G194" s="12">
        <f>IF('Panel Dataset'!F179&gt;=$D$8,1/(1+EXP(-(LN(19)/($E$8-$D$8))*('Panel Dataset'!F179-$D$8))),1/(1+EXP(-(LN(19)/($D$8-$C$8))*('Panel Dataset'!F179-$D$8))))</f>
        <v>0.86668759145078922</v>
      </c>
      <c r="H194" s="12">
        <f>IF('Panel Dataset'!G179&gt;=$D$9,1/(1+EXP(-(LN(19)/($E$9-$D$9))*('Panel Dataset'!G179-$D$9))),1/(1+EXP(-(LN(19)/($D$9-$C$9))*('Panel Dataset'!G179-$D$9))))</f>
        <v>0.7230442631856715</v>
      </c>
      <c r="I194" s="12">
        <f>IF('Panel Dataset'!H179&gt;=$D$10,1/(1+EXP(-(LN(19)/($E$10-$D$10))*('Panel Dataset'!H179-$D$10))),1/(1+EXP(-(LN(19)/($D$10-$C$10))*('Panel Dataset'!H179-$D$10))))</f>
        <v>0.90989426923415295</v>
      </c>
      <c r="J194" s="12">
        <f>IF('Panel Dataset'!I179&gt;=$D$11,1/(1+EXP(-(LN(19)/($E$11-$D$11))*('Panel Dataset'!I179-$D$11))),1/(1+EXP(-(LN(19)/($D$11-$C$11))*('Panel Dataset'!I179-$D$11))))</f>
        <v>0.75379466822356556</v>
      </c>
    </row>
    <row r="195" spans="2:10" x14ac:dyDescent="0.3">
      <c r="B195" s="7" t="str">
        <f>'Panel Dataset'!A180</f>
        <v>Qualcomm Incorporated</v>
      </c>
      <c r="C195" s="7">
        <f>'Panel Dataset'!B180</f>
        <v>2023</v>
      </c>
      <c r="D195" s="12">
        <f>IF('Panel Dataset'!C180&gt;=$D$5,1/(1+EXP(-(LN(19)/($E$5-$D$5))*('Panel Dataset'!C180-$D$5))),1/(1+EXP(-(LN(19)/($D$5-$C$5))*('Panel Dataset'!C180-$D$5))))</f>
        <v>0.90578127806280295</v>
      </c>
      <c r="E195" s="12">
        <f>IF('Panel Dataset'!D180&gt;=$D$6,1/(1+EXP(-(LN(19)/($E$6-$D$6))*('Panel Dataset'!D180-$D$6))),1/(1+EXP(-(LN(19)/($D$6-$C$6))*('Panel Dataset'!D180-$D$6))))</f>
        <v>0.66423724672343998</v>
      </c>
      <c r="F195" s="12">
        <f>IF('Panel Dataset'!E180&gt;=$D$7,1/(1+EXP(-(LN(19)/($E$7-$D$7))*('Panel Dataset'!E180-$D$7))),1/(1+EXP(-(LN(19)/($D$7-$C$7))*('Panel Dataset'!E180-$D$7))))</f>
        <v>0.9129154222406699</v>
      </c>
      <c r="G195" s="12">
        <f>IF('Panel Dataset'!F180&gt;=$D$8,1/(1+EXP(-(LN(19)/($E$8-$D$8))*('Panel Dataset'!F180-$D$8))),1/(1+EXP(-(LN(19)/($D$8-$C$8))*('Panel Dataset'!F180-$D$8))))</f>
        <v>0.93396124379999912</v>
      </c>
      <c r="H195" s="12">
        <f>IF('Panel Dataset'!G180&gt;=$D$9,1/(1+EXP(-(LN(19)/($E$9-$D$9))*('Panel Dataset'!G180-$D$9))),1/(1+EXP(-(LN(19)/($D$9-$C$9))*('Panel Dataset'!G180-$D$9))))</f>
        <v>0.74707202876619727</v>
      </c>
      <c r="I195" s="12">
        <f>IF('Panel Dataset'!H180&gt;=$D$10,1/(1+EXP(-(LN(19)/($E$10-$D$10))*('Panel Dataset'!H180-$D$10))),1/(1+EXP(-(LN(19)/($D$10-$C$10))*('Panel Dataset'!H180-$D$10))))</f>
        <v>0.91533649777074078</v>
      </c>
      <c r="J195" s="12">
        <f>IF('Panel Dataset'!I180&gt;=$D$11,1/(1+EXP(-(LN(19)/($E$11-$D$11))*('Panel Dataset'!I180-$D$11))),1/(1+EXP(-(LN(19)/($D$11-$C$11))*('Panel Dataset'!I180-$D$11))))</f>
        <v>0.71191553445029487</v>
      </c>
    </row>
    <row r="196" spans="2:10" x14ac:dyDescent="0.3">
      <c r="B196" s="7" t="str">
        <f>'Panel Dataset'!A181</f>
        <v>Qualcomm Incorporated</v>
      </c>
      <c r="C196" s="7">
        <f>'Panel Dataset'!B181</f>
        <v>2024</v>
      </c>
      <c r="D196" s="12">
        <f>IF('Panel Dataset'!C181&gt;=$D$5,1/(1+EXP(-(LN(19)/($E$5-$D$5))*('Panel Dataset'!C181-$D$5))),1/(1+EXP(-(LN(19)/($D$5-$C$5))*('Panel Dataset'!C181-$D$5))))</f>
        <v>0.93942493854867282</v>
      </c>
      <c r="E196" s="12">
        <f>IF('Panel Dataset'!D181&gt;=$D$6,1/(1+EXP(-(LN(19)/($E$6-$D$6))*('Panel Dataset'!D181-$D$6))),1/(1+EXP(-(LN(19)/($D$6-$C$6))*('Panel Dataset'!D181-$D$6))))</f>
        <v>0.80970171743626063</v>
      </c>
      <c r="F196" s="12">
        <f>IF('Panel Dataset'!E181&gt;=$D$7,1/(1+EXP(-(LN(19)/($E$7-$D$7))*('Panel Dataset'!E181-$D$7))),1/(1+EXP(-(LN(19)/($D$7-$C$7))*('Panel Dataset'!E181-$D$7))))</f>
        <v>0.94043213412914839</v>
      </c>
      <c r="G196" s="12">
        <f>IF('Panel Dataset'!F181&gt;=$D$8,1/(1+EXP(-(LN(19)/($E$8-$D$8))*('Panel Dataset'!F181-$D$8))),1/(1+EXP(-(LN(19)/($D$8-$C$8))*('Panel Dataset'!F181-$D$8))))</f>
        <v>0.93768843105310562</v>
      </c>
      <c r="H196" s="12">
        <f>IF('Panel Dataset'!G181&gt;=$D$9,1/(1+EXP(-(LN(19)/($E$9-$D$9))*('Panel Dataset'!G181-$D$9))),1/(1+EXP(-(LN(19)/($D$9-$C$9))*('Panel Dataset'!G181-$D$9))))</f>
        <v>0.85918392448498593</v>
      </c>
      <c r="I196" s="12">
        <f>IF('Panel Dataset'!H181&gt;=$D$10,1/(1+EXP(-(LN(19)/($E$10-$D$10))*('Panel Dataset'!H181-$D$10))),1/(1+EXP(-(LN(19)/($D$10-$C$10))*('Panel Dataset'!H181-$D$10))))</f>
        <v>0.9564691573417643</v>
      </c>
      <c r="J196" s="12">
        <f>IF('Panel Dataset'!I181&gt;=$D$11,1/(1+EXP(-(LN(19)/($E$11-$D$11))*('Panel Dataset'!I181-$D$11))),1/(1+EXP(-(LN(19)/($D$11-$C$11))*('Panel Dataset'!I181-$D$11))))</f>
        <v>0.95466111641247065</v>
      </c>
    </row>
    <row r="197" spans="2:10" x14ac:dyDescent="0.3">
      <c r="B197" s="7" t="str">
        <f>'Panel Dataset'!A182</f>
        <v>STMicroelectronics</v>
      </c>
      <c r="C197" s="7">
        <f>'Panel Dataset'!B182</f>
        <v>2015</v>
      </c>
      <c r="D197" s="12">
        <f>IF('Panel Dataset'!C182&gt;=$D$5,1/(1+EXP(-(LN(19)/($E$5-$D$5))*('Panel Dataset'!C182-$D$5))),1/(1+EXP(-(LN(19)/($D$5-$C$5))*('Panel Dataset'!C182-$D$5))))</f>
        <v>0.23296599688036518</v>
      </c>
      <c r="E197" s="12">
        <f>IF('Panel Dataset'!D182&gt;=$D$6,1/(1+EXP(-(LN(19)/($E$6-$D$6))*('Panel Dataset'!D182-$D$6))),1/(1+EXP(-(LN(19)/($D$6-$C$6))*('Panel Dataset'!D182-$D$6))))</f>
        <v>0.10790321192241756</v>
      </c>
      <c r="F197" s="12">
        <f>IF('Panel Dataset'!E182&gt;=$D$7,1/(1+EXP(-(LN(19)/($E$7-$D$7))*('Panel Dataset'!E182-$D$7))),1/(1+EXP(-(LN(19)/($D$7-$C$7))*('Panel Dataset'!E182-$D$7))))</f>
        <v>0.62010033623825767</v>
      </c>
      <c r="G197" s="12">
        <f>IF('Panel Dataset'!F182&gt;=$D$8,1/(1+EXP(-(LN(19)/($E$8-$D$8))*('Panel Dataset'!F182-$D$8))),1/(1+EXP(-(LN(19)/($D$8-$C$8))*('Panel Dataset'!F182-$D$8))))</f>
        <v>0.33390526821140498</v>
      </c>
      <c r="H197" s="12">
        <f>IF('Panel Dataset'!G182&gt;=$D$9,1/(1+EXP(-(LN(19)/($E$9-$D$9))*('Panel Dataset'!G182-$D$9))),1/(1+EXP(-(LN(19)/($D$9-$C$9))*('Panel Dataset'!G182-$D$9))))</f>
        <v>0.26590623013412468</v>
      </c>
      <c r="I197" s="12">
        <f>IF('Panel Dataset'!H182&gt;=$D$10,1/(1+EXP(-(LN(19)/($E$10-$D$10))*('Panel Dataset'!H182-$D$10))),1/(1+EXP(-(LN(19)/($D$10-$C$10))*('Panel Dataset'!H182-$D$10))))</f>
        <v>0.44467317541840823</v>
      </c>
      <c r="J197" s="12">
        <f>IF('Panel Dataset'!I182&gt;=$D$11,1/(1+EXP(-(LN(19)/($E$11-$D$11))*('Panel Dataset'!I182-$D$11))),1/(1+EXP(-(LN(19)/($D$11-$C$11))*('Panel Dataset'!I182-$D$11))))</f>
        <v>0.20007805420275374</v>
      </c>
    </row>
    <row r="198" spans="2:10" x14ac:dyDescent="0.3">
      <c r="B198" s="7" t="str">
        <f>'Panel Dataset'!A183</f>
        <v>STMicroelectronics</v>
      </c>
      <c r="C198" s="7">
        <f>'Panel Dataset'!B183</f>
        <v>2016</v>
      </c>
      <c r="D198" s="12">
        <f>IF('Panel Dataset'!C183&gt;=$D$5,1/(1+EXP(-(LN(19)/($E$5-$D$5))*('Panel Dataset'!C183-$D$5))),1/(1+EXP(-(LN(19)/($D$5-$C$5))*('Panel Dataset'!C183-$D$5))))</f>
        <v>0.27599865012686531</v>
      </c>
      <c r="E198" s="12">
        <f>IF('Panel Dataset'!D183&gt;=$D$6,1/(1+EXP(-(LN(19)/($E$6-$D$6))*('Panel Dataset'!D183-$D$6))),1/(1+EXP(-(LN(19)/($D$6-$C$6))*('Panel Dataset'!D183-$D$6))))</f>
        <v>0.25767566147101956</v>
      </c>
      <c r="F198" s="12">
        <f>IF('Panel Dataset'!E183&gt;=$D$7,1/(1+EXP(-(LN(19)/($E$7-$D$7))*('Panel Dataset'!E183-$D$7))),1/(1+EXP(-(LN(19)/($D$7-$C$7))*('Panel Dataset'!E183-$D$7))))</f>
        <v>0.60648796138089789</v>
      </c>
      <c r="G198" s="12">
        <f>IF('Panel Dataset'!F183&gt;=$D$8,1/(1+EXP(-(LN(19)/($E$8-$D$8))*('Panel Dataset'!F183-$D$8))),1/(1+EXP(-(LN(19)/($D$8-$C$8))*('Panel Dataset'!F183-$D$8))))</f>
        <v>0.34140198227673524</v>
      </c>
      <c r="H198" s="12">
        <f>IF('Panel Dataset'!G183&gt;=$D$9,1/(1+EXP(-(LN(19)/($E$9-$D$9))*('Panel Dataset'!G183-$D$9))),1/(1+EXP(-(LN(19)/($D$9-$C$9))*('Panel Dataset'!G183-$D$9))))</f>
        <v>0.35705106271939885</v>
      </c>
      <c r="I198" s="12">
        <f>IF('Panel Dataset'!H183&gt;=$D$10,1/(1+EXP(-(LN(19)/($E$10-$D$10))*('Panel Dataset'!H183-$D$10))),1/(1+EXP(-(LN(19)/($D$10-$C$10))*('Panel Dataset'!H183-$D$10))))</f>
        <v>0.40059501563900363</v>
      </c>
      <c r="J198" s="12">
        <f>IF('Panel Dataset'!I183&gt;=$D$11,1/(1+EXP(-(LN(19)/($E$11-$D$11))*('Panel Dataset'!I183-$D$11))),1/(1+EXP(-(LN(19)/($D$11-$C$11))*('Panel Dataset'!I183-$D$11))))</f>
        <v>0.41915334575064062</v>
      </c>
    </row>
    <row r="199" spans="2:10" x14ac:dyDescent="0.3">
      <c r="B199" s="7" t="str">
        <f>'Panel Dataset'!A184</f>
        <v>STMicroelectronics</v>
      </c>
      <c r="C199" s="7">
        <f>'Panel Dataset'!B184</f>
        <v>2017</v>
      </c>
      <c r="D199" s="12">
        <f>IF('Panel Dataset'!C184&gt;=$D$5,1/(1+EXP(-(LN(19)/($E$5-$D$5))*('Panel Dataset'!C184-$D$5))),1/(1+EXP(-(LN(19)/($D$5-$C$5))*('Panel Dataset'!C184-$D$5))))</f>
        <v>0.35638887589638496</v>
      </c>
      <c r="E199" s="12">
        <f>IF('Panel Dataset'!D184&gt;=$D$6,1/(1+EXP(-(LN(19)/($E$6-$D$6))*('Panel Dataset'!D184-$D$6))),1/(1+EXP(-(LN(19)/($D$6-$C$6))*('Panel Dataset'!D184-$D$6))))</f>
        <v>0.30213123178427026</v>
      </c>
      <c r="F199" s="12">
        <f>IF('Panel Dataset'!E184&gt;=$D$7,1/(1+EXP(-(LN(19)/($E$7-$D$7))*('Panel Dataset'!E184-$D$7))),1/(1+EXP(-(LN(19)/($D$7-$C$7))*('Panel Dataset'!E184-$D$7))))</f>
        <v>0.70489829220714595</v>
      </c>
      <c r="G199" s="12">
        <f>IF('Panel Dataset'!F184&gt;=$D$8,1/(1+EXP(-(LN(19)/($E$8-$D$8))*('Panel Dataset'!F184-$D$8))),1/(1+EXP(-(LN(19)/($D$8-$C$8))*('Panel Dataset'!F184-$D$8))))</f>
        <v>0.41750882219543217</v>
      </c>
      <c r="H199" s="12">
        <f>IF('Panel Dataset'!G184&gt;=$D$9,1/(1+EXP(-(LN(19)/($E$9-$D$9))*('Panel Dataset'!G184-$D$9))),1/(1+EXP(-(LN(19)/($D$9-$C$9))*('Panel Dataset'!G184-$D$9))))</f>
        <v>0.35487414773467746</v>
      </c>
      <c r="I199" s="12">
        <f>IF('Panel Dataset'!H184&gt;=$D$10,1/(1+EXP(-(LN(19)/($E$10-$D$10))*('Panel Dataset'!H184-$D$10))),1/(1+EXP(-(LN(19)/($D$10-$C$10))*('Panel Dataset'!H184-$D$10))))</f>
        <v>0.39182532646353568</v>
      </c>
      <c r="J199" s="12">
        <f>IF('Panel Dataset'!I184&gt;=$D$11,1/(1+EXP(-(LN(19)/($E$11-$D$11))*('Panel Dataset'!I184-$D$11))),1/(1+EXP(-(LN(19)/($D$11-$C$11))*('Panel Dataset'!I184-$D$11))))</f>
        <v>0.34837313478558884</v>
      </c>
    </row>
    <row r="200" spans="2:10" x14ac:dyDescent="0.3">
      <c r="B200" s="7" t="str">
        <f>'Panel Dataset'!A185</f>
        <v>STMicroelectronics</v>
      </c>
      <c r="C200" s="7">
        <f>'Panel Dataset'!B185</f>
        <v>2018</v>
      </c>
      <c r="D200" s="12">
        <f>IF('Panel Dataset'!C185&gt;=$D$5,1/(1+EXP(-(LN(19)/($E$5-$D$5))*('Panel Dataset'!C185-$D$5))),1/(1+EXP(-(LN(19)/($D$5-$C$5))*('Panel Dataset'!C185-$D$5))))</f>
        <v>0.43408754914338987</v>
      </c>
      <c r="E200" s="12">
        <f>IF('Panel Dataset'!D185&gt;=$D$6,1/(1+EXP(-(LN(19)/($E$6-$D$6))*('Panel Dataset'!D185-$D$6))),1/(1+EXP(-(LN(19)/($D$6-$C$6))*('Panel Dataset'!D185-$D$6))))</f>
        <v>0.39156228780893948</v>
      </c>
      <c r="F200" s="12">
        <f>IF('Panel Dataset'!E185&gt;=$D$7,1/(1+EXP(-(LN(19)/($E$7-$D$7))*('Panel Dataset'!E185-$D$7))),1/(1+EXP(-(LN(19)/($D$7-$C$7))*('Panel Dataset'!E185-$D$7))))</f>
        <v>0.77356161189832662</v>
      </c>
      <c r="G200" s="12">
        <f>IF('Panel Dataset'!F185&gt;=$D$8,1/(1+EXP(-(LN(19)/($E$8-$D$8))*('Panel Dataset'!F185-$D$8))),1/(1+EXP(-(LN(19)/($D$8-$C$8))*('Panel Dataset'!F185-$D$8))))</f>
        <v>0.51854644200080979</v>
      </c>
      <c r="H200" s="12">
        <f>IF('Panel Dataset'!G185&gt;=$D$9,1/(1+EXP(-(LN(19)/($E$9-$D$9))*('Panel Dataset'!G185-$D$9))),1/(1+EXP(-(LN(19)/($D$9-$C$9))*('Panel Dataset'!G185-$D$9))))</f>
        <v>0.65273011334168818</v>
      </c>
      <c r="I200" s="12">
        <f>IF('Panel Dataset'!H185&gt;=$D$10,1/(1+EXP(-(LN(19)/($E$10-$D$10))*('Panel Dataset'!H185-$D$10))),1/(1+EXP(-(LN(19)/($D$10-$C$10))*('Panel Dataset'!H185-$D$10))))</f>
        <v>0.4899553848869489</v>
      </c>
      <c r="J200" s="12">
        <f>IF('Panel Dataset'!I185&gt;=$D$11,1/(1+EXP(-(LN(19)/($E$11-$D$11))*('Panel Dataset'!I185-$D$11))),1/(1+EXP(-(LN(19)/($D$11-$C$11))*('Panel Dataset'!I185-$D$11))))</f>
        <v>0.39937883675118524</v>
      </c>
    </row>
    <row r="201" spans="2:10" x14ac:dyDescent="0.3">
      <c r="B201" s="7" t="str">
        <f>'Panel Dataset'!A186</f>
        <v>STMicroelectronics</v>
      </c>
      <c r="C201" s="7">
        <f>'Panel Dataset'!B186</f>
        <v>2019</v>
      </c>
      <c r="D201" s="12">
        <f>IF('Panel Dataset'!C186&gt;=$D$5,1/(1+EXP(-(LN(19)/($E$5-$D$5))*('Panel Dataset'!C186-$D$5))),1/(1+EXP(-(LN(19)/($D$5-$C$5))*('Panel Dataset'!C186-$D$5))))</f>
        <v>0.62132861744602375</v>
      </c>
      <c r="E201" s="12">
        <f>IF('Panel Dataset'!D186&gt;=$D$6,1/(1+EXP(-(LN(19)/($E$6-$D$6))*('Panel Dataset'!D186-$D$6))),1/(1+EXP(-(LN(19)/($D$6-$C$6))*('Panel Dataset'!D186-$D$6))))</f>
        <v>0.53641095028303476</v>
      </c>
      <c r="F201" s="12">
        <f>IF('Panel Dataset'!E186&gt;=$D$7,1/(1+EXP(-(LN(19)/($E$7-$D$7))*('Panel Dataset'!E186-$D$7))),1/(1+EXP(-(LN(19)/($D$7-$C$7))*('Panel Dataset'!E186-$D$7))))</f>
        <v>0.84189990163940431</v>
      </c>
      <c r="G201" s="12">
        <f>IF('Panel Dataset'!F186&gt;=$D$8,1/(1+EXP(-(LN(19)/($E$8-$D$8))*('Panel Dataset'!F186-$D$8))),1/(1+EXP(-(LN(19)/($D$8-$C$8))*('Panel Dataset'!F186-$D$8))))</f>
        <v>0.71700372833145498</v>
      </c>
      <c r="H201" s="12">
        <f>IF('Panel Dataset'!G186&gt;=$D$9,1/(1+EXP(-(LN(19)/($E$9-$D$9))*('Panel Dataset'!G186-$D$9))),1/(1+EXP(-(LN(19)/($D$9-$C$9))*('Panel Dataset'!G186-$D$9))))</f>
        <v>0.66974392498202751</v>
      </c>
      <c r="I201" s="12">
        <f>IF('Panel Dataset'!H186&gt;=$D$10,1/(1+EXP(-(LN(19)/($E$10-$D$10))*('Panel Dataset'!H186-$D$10))),1/(1+EXP(-(LN(19)/($D$10-$C$10))*('Panel Dataset'!H186-$D$10))))</f>
        <v>0.5231206994285641</v>
      </c>
      <c r="J201" s="12">
        <f>IF('Panel Dataset'!I186&gt;=$D$11,1/(1+EXP(-(LN(19)/($E$11-$D$11))*('Panel Dataset'!I186-$D$11))),1/(1+EXP(-(LN(19)/($D$11-$C$11))*('Panel Dataset'!I186-$D$11))))</f>
        <v>0.77619139011875016</v>
      </c>
    </row>
    <row r="202" spans="2:10" x14ac:dyDescent="0.3">
      <c r="B202" s="7" t="str">
        <f>'Panel Dataset'!A187</f>
        <v>STMicroelectronics</v>
      </c>
      <c r="C202" s="7">
        <f>'Panel Dataset'!B187</f>
        <v>2020</v>
      </c>
      <c r="D202" s="12">
        <f>IF('Panel Dataset'!C187&gt;=$D$5,1/(1+EXP(-(LN(19)/($E$5-$D$5))*('Panel Dataset'!C187-$D$5))),1/(1+EXP(-(LN(19)/($D$5-$C$5))*('Panel Dataset'!C187-$D$5))))</f>
        <v>0.82656528528684714</v>
      </c>
      <c r="E202" s="12">
        <f>IF('Panel Dataset'!D187&gt;=$D$6,1/(1+EXP(-(LN(19)/($E$6-$D$6))*('Panel Dataset'!D187-$D$6))),1/(1+EXP(-(LN(19)/($D$6-$C$6))*('Panel Dataset'!D187-$D$6))))</f>
        <v>0.75016986231924321</v>
      </c>
      <c r="F202" s="12">
        <f>IF('Panel Dataset'!E187&gt;=$D$7,1/(1+EXP(-(LN(19)/($E$7-$D$7))*('Panel Dataset'!E187-$D$7))),1/(1+EXP(-(LN(19)/($D$7-$C$7))*('Panel Dataset'!E187-$D$7))))</f>
        <v>0.94075287956567566</v>
      </c>
      <c r="G202" s="12">
        <f>IF('Panel Dataset'!F187&gt;=$D$8,1/(1+EXP(-(LN(19)/($E$8-$D$8))*('Panel Dataset'!F187-$D$8))),1/(1+EXP(-(LN(19)/($D$8-$C$8))*('Panel Dataset'!F187-$D$8))))</f>
        <v>0.88838560026256796</v>
      </c>
      <c r="H202" s="12">
        <f>IF('Panel Dataset'!G187&gt;=$D$9,1/(1+EXP(-(LN(19)/($E$9-$D$9))*('Panel Dataset'!G187-$D$9))),1/(1+EXP(-(LN(19)/($D$9-$C$9))*('Panel Dataset'!G187-$D$9))))</f>
        <v>0.88820233421312322</v>
      </c>
      <c r="I202" s="12">
        <f>IF('Panel Dataset'!H187&gt;=$D$10,1/(1+EXP(-(LN(19)/($E$10-$D$10))*('Panel Dataset'!H187-$D$10))),1/(1+EXP(-(LN(19)/($D$10-$C$10))*('Panel Dataset'!H187-$D$10))))</f>
        <v>0.78172814562790216</v>
      </c>
      <c r="J202" s="12">
        <f>IF('Panel Dataset'!I187&gt;=$D$11,1/(1+EXP(-(LN(19)/($E$11-$D$11))*('Panel Dataset'!I187-$D$11))),1/(1+EXP(-(LN(19)/($D$11-$C$11))*('Panel Dataset'!I187-$D$11))))</f>
        <v>0.61961034487905819</v>
      </c>
    </row>
    <row r="203" spans="2:10" x14ac:dyDescent="0.3">
      <c r="B203" s="7" t="str">
        <f>'Panel Dataset'!A188</f>
        <v>STMicroelectronics</v>
      </c>
      <c r="C203" s="7">
        <f>'Panel Dataset'!B188</f>
        <v>2021</v>
      </c>
      <c r="D203" s="12">
        <f>IF('Panel Dataset'!C188&gt;=$D$5,1/(1+EXP(-(LN(19)/($E$5-$D$5))*('Panel Dataset'!C188-$D$5))),1/(1+EXP(-(LN(19)/($D$5-$C$5))*('Panel Dataset'!C188-$D$5))))</f>
        <v>0.9015426932809657</v>
      </c>
      <c r="E203" s="12">
        <f>IF('Panel Dataset'!D188&gt;=$D$6,1/(1+EXP(-(LN(19)/($E$6-$D$6))*('Panel Dataset'!D188-$D$6))),1/(1+EXP(-(LN(19)/($D$6-$C$6))*('Panel Dataset'!D188-$D$6))))</f>
        <v>0.8429090219165617</v>
      </c>
      <c r="F203" s="12">
        <f>IF('Panel Dataset'!E188&gt;=$D$7,1/(1+EXP(-(LN(19)/($E$7-$D$7))*('Panel Dataset'!E188-$D$7))),1/(1+EXP(-(LN(19)/($D$7-$C$7))*('Panel Dataset'!E188-$D$7))))</f>
        <v>0.97406733044077587</v>
      </c>
      <c r="G203" s="12">
        <f>IF('Panel Dataset'!F188&gt;=$D$8,1/(1+EXP(-(LN(19)/($E$8-$D$8))*('Panel Dataset'!F188-$D$8))),1/(1+EXP(-(LN(19)/($D$8-$C$8))*('Panel Dataset'!F188-$D$8))))</f>
        <v>0.94344472077332708</v>
      </c>
      <c r="H203" s="12">
        <f>IF('Panel Dataset'!G188&gt;=$D$9,1/(1+EXP(-(LN(19)/($E$9-$D$9))*('Panel Dataset'!G188-$D$9))),1/(1+EXP(-(LN(19)/($D$9-$C$9))*('Panel Dataset'!G188-$D$9))))</f>
        <v>0.94861843169496851</v>
      </c>
      <c r="I203" s="12">
        <f>IF('Panel Dataset'!H188&gt;=$D$10,1/(1+EXP(-(LN(19)/($E$10-$D$10))*('Panel Dataset'!H188-$D$10))),1/(1+EXP(-(LN(19)/($D$10-$C$10))*('Panel Dataset'!H188-$D$10))))</f>
        <v>0.94370760934017039</v>
      </c>
      <c r="J203" s="12">
        <f>IF('Panel Dataset'!I188&gt;=$D$11,1/(1+EXP(-(LN(19)/($E$11-$D$11))*('Panel Dataset'!I188-$D$11))),1/(1+EXP(-(LN(19)/($D$11-$C$11))*('Panel Dataset'!I188-$D$11))))</f>
        <v>0.60760454222192983</v>
      </c>
    </row>
    <row r="204" spans="2:10" x14ac:dyDescent="0.3">
      <c r="B204" s="7" t="str">
        <f>'Panel Dataset'!A189</f>
        <v>STMicroelectronics</v>
      </c>
      <c r="C204" s="7">
        <f>'Panel Dataset'!B189</f>
        <v>2022</v>
      </c>
      <c r="D204" s="12">
        <f>IF('Panel Dataset'!C189&gt;=$D$5,1/(1+EXP(-(LN(19)/($E$5-$D$5))*('Panel Dataset'!C189-$D$5))),1/(1+EXP(-(LN(19)/($D$5-$C$5))*('Panel Dataset'!C189-$D$5))))</f>
        <v>0.93798822231522094</v>
      </c>
      <c r="E204" s="12">
        <f>IF('Panel Dataset'!D189&gt;=$D$6,1/(1+EXP(-(LN(19)/($E$6-$D$6))*('Panel Dataset'!D189-$D$6))),1/(1+EXP(-(LN(19)/($D$6-$C$6))*('Panel Dataset'!D189-$D$6))))</f>
        <v>0.88883620155336795</v>
      </c>
      <c r="F204" s="12">
        <f>IF('Panel Dataset'!E189&gt;=$D$7,1/(1+EXP(-(LN(19)/($E$7-$D$7))*('Panel Dataset'!E189-$D$7))),1/(1+EXP(-(LN(19)/($D$7-$C$7))*('Panel Dataset'!E189-$D$7))))</f>
        <v>0.96894297180017186</v>
      </c>
      <c r="G204" s="12">
        <f>IF('Panel Dataset'!F189&gt;=$D$8,1/(1+EXP(-(LN(19)/($E$8-$D$8))*('Panel Dataset'!F189-$D$8))),1/(1+EXP(-(LN(19)/($D$8-$C$8))*('Panel Dataset'!F189-$D$8))))</f>
        <v>0.95600845204134577</v>
      </c>
      <c r="H204" s="12">
        <f>IF('Panel Dataset'!G189&gt;=$D$9,1/(1+EXP(-(LN(19)/($E$9-$D$9))*('Panel Dataset'!G189-$D$9))),1/(1+EXP(-(LN(19)/($D$9-$C$9))*('Panel Dataset'!G189-$D$9))))</f>
        <v>0.94806018232262068</v>
      </c>
      <c r="I204" s="12">
        <f>IF('Panel Dataset'!H189&gt;=$D$10,1/(1+EXP(-(LN(19)/($E$10-$D$10))*('Panel Dataset'!H189-$D$10))),1/(1+EXP(-(LN(19)/($D$10-$C$10))*('Panel Dataset'!H189-$D$10))))</f>
        <v>0.96705011203045055</v>
      </c>
      <c r="J204" s="12">
        <f>IF('Panel Dataset'!I189&gt;=$D$11,1/(1+EXP(-(LN(19)/($E$11-$D$11))*('Panel Dataset'!I189-$D$11))),1/(1+EXP(-(LN(19)/($D$11-$C$11))*('Panel Dataset'!I189-$D$11))))</f>
        <v>0.77686736932368927</v>
      </c>
    </row>
    <row r="205" spans="2:10" x14ac:dyDescent="0.3">
      <c r="B205" s="7" t="str">
        <f>'Panel Dataset'!A190</f>
        <v>STMicroelectronics</v>
      </c>
      <c r="C205" s="7">
        <f>'Panel Dataset'!B190</f>
        <v>2023</v>
      </c>
      <c r="D205" s="12">
        <f>IF('Panel Dataset'!C190&gt;=$D$5,1/(1+EXP(-(LN(19)/($E$5-$D$5))*('Panel Dataset'!C190-$D$5))),1/(1+EXP(-(LN(19)/($D$5-$C$5))*('Panel Dataset'!C190-$D$5))))</f>
        <v>0.95471923732955244</v>
      </c>
      <c r="E205" s="12">
        <f>IF('Panel Dataset'!D190&gt;=$D$6,1/(1+EXP(-(LN(19)/($E$6-$D$6))*('Panel Dataset'!D190-$D$6))),1/(1+EXP(-(LN(19)/($D$6-$C$6))*('Panel Dataset'!D190-$D$6))))</f>
        <v>0.94826829801287416</v>
      </c>
      <c r="F205" s="12">
        <f>IF('Panel Dataset'!E190&gt;=$D$7,1/(1+EXP(-(LN(19)/($E$7-$D$7))*('Panel Dataset'!E190-$D$7))),1/(1+EXP(-(LN(19)/($D$7-$C$7))*('Panel Dataset'!E190-$D$7))))</f>
        <v>0.98762765595166557</v>
      </c>
      <c r="G205" s="12">
        <f>IF('Panel Dataset'!F190&gt;=$D$8,1/(1+EXP(-(LN(19)/($E$8-$D$8))*('Panel Dataset'!F190-$D$8))),1/(1+EXP(-(LN(19)/($D$8-$C$8))*('Panel Dataset'!F190-$D$8))))</f>
        <v>0.98154742323645172</v>
      </c>
      <c r="H205" s="12">
        <f>IF('Panel Dataset'!G190&gt;=$D$9,1/(1+EXP(-(LN(19)/($E$9-$D$9))*('Panel Dataset'!G190-$D$9))),1/(1+EXP(-(LN(19)/($D$9-$C$9))*('Panel Dataset'!G190-$D$9))))</f>
        <v>0.95569988333273304</v>
      </c>
      <c r="I205" s="12">
        <f>IF('Panel Dataset'!H190&gt;=$D$10,1/(1+EXP(-(LN(19)/($E$10-$D$10))*('Panel Dataset'!H190-$D$10))),1/(1+EXP(-(LN(19)/($D$10-$C$10))*('Panel Dataset'!H190-$D$10))))</f>
        <v>0.978123322150244</v>
      </c>
      <c r="J205" s="12">
        <f>IF('Panel Dataset'!I190&gt;=$D$11,1/(1+EXP(-(LN(19)/($E$11-$D$11))*('Panel Dataset'!I190-$D$11))),1/(1+EXP(-(LN(19)/($D$11-$C$11))*('Panel Dataset'!I190-$D$11))))</f>
        <v>0.95807305802343345</v>
      </c>
    </row>
    <row r="206" spans="2:10" x14ac:dyDescent="0.3">
      <c r="B206" s="7" t="str">
        <f>'Panel Dataset'!A191</f>
        <v>STMicroelectronics</v>
      </c>
      <c r="C206" s="7">
        <f>'Panel Dataset'!B191</f>
        <v>2024</v>
      </c>
      <c r="D206" s="12">
        <f>IF('Panel Dataset'!C191&gt;=$D$5,1/(1+EXP(-(LN(19)/($E$5-$D$5))*('Panel Dataset'!C191-$D$5))),1/(1+EXP(-(LN(19)/($D$5-$C$5))*('Panel Dataset'!C191-$D$5))))</f>
        <v>0.96091361140839093</v>
      </c>
      <c r="E206" s="12">
        <f>IF('Panel Dataset'!D191&gt;=$D$6,1/(1+EXP(-(LN(19)/($E$6-$D$6))*('Panel Dataset'!D191-$D$6))),1/(1+EXP(-(LN(19)/($D$6-$C$6))*('Panel Dataset'!D191-$D$6))))</f>
        <v>0.97717110637740112</v>
      </c>
      <c r="F206" s="12">
        <f>IF('Panel Dataset'!E191&gt;=$D$7,1/(1+EXP(-(LN(19)/($E$7-$D$7))*('Panel Dataset'!E191-$D$7))),1/(1+EXP(-(LN(19)/($D$7-$C$7))*('Panel Dataset'!E191-$D$7))))</f>
        <v>0.99162417812934089</v>
      </c>
      <c r="G206" s="12">
        <f>IF('Panel Dataset'!F191&gt;=$D$8,1/(1+EXP(-(LN(19)/($E$8-$D$8))*('Panel Dataset'!F191-$D$8))),1/(1+EXP(-(LN(19)/($D$8-$C$8))*('Panel Dataset'!F191-$D$8))))</f>
        <v>0.98643757230531182</v>
      </c>
      <c r="H206" s="12">
        <f>IF('Panel Dataset'!G191&gt;=$D$9,1/(1+EXP(-(LN(19)/($E$9-$D$9))*('Panel Dataset'!G191-$D$9))),1/(1+EXP(-(LN(19)/($D$9-$C$9))*('Panel Dataset'!G191-$D$9))))</f>
        <v>0.9698856157092286</v>
      </c>
      <c r="I206" s="12">
        <f>IF('Panel Dataset'!H191&gt;=$D$10,1/(1+EXP(-(LN(19)/($E$10-$D$10))*('Panel Dataset'!H191-$D$10))),1/(1+EXP(-(LN(19)/($D$10-$C$10))*('Panel Dataset'!H191-$D$10))))</f>
        <v>0.9842133547901134</v>
      </c>
      <c r="J206" s="12">
        <f>IF('Panel Dataset'!I191&gt;=$D$11,1/(1+EXP(-(LN(19)/($E$11-$D$11))*('Panel Dataset'!I191-$D$11))),1/(1+EXP(-(LN(19)/($D$11-$C$11))*('Panel Dataset'!I191-$D$11))))</f>
        <v>0.97010125664233771</v>
      </c>
    </row>
    <row r="207" spans="2:10" x14ac:dyDescent="0.3">
      <c r="B207" s="7" t="str">
        <f>'Panel Dataset'!A192</f>
        <v>Seagate Technology</v>
      </c>
      <c r="C207" s="7">
        <f>'Panel Dataset'!B192</f>
        <v>2015</v>
      </c>
      <c r="D207" s="12">
        <f>IF('Panel Dataset'!C192&gt;=$D$5,1/(1+EXP(-(LN(19)/($E$5-$D$5))*('Panel Dataset'!C192-$D$5))),1/(1+EXP(-(LN(19)/($D$5-$C$5))*('Panel Dataset'!C192-$D$5))))</f>
        <v>0.1846651582931805</v>
      </c>
      <c r="E207" s="12">
        <f>IF('Panel Dataset'!D192&gt;=$D$6,1/(1+EXP(-(LN(19)/($E$6-$D$6))*('Panel Dataset'!D192-$D$6))),1/(1+EXP(-(LN(19)/($D$6-$C$6))*('Panel Dataset'!D192-$D$6))))</f>
        <v>0.12572588669956372</v>
      </c>
      <c r="F207" s="12">
        <f>IF('Panel Dataset'!E192&gt;=$D$7,1/(1+EXP(-(LN(19)/($E$7-$D$7))*('Panel Dataset'!E192-$D$7))),1/(1+EXP(-(LN(19)/($D$7-$C$7))*('Panel Dataset'!E192-$D$7))))</f>
        <v>0.13676581034880053</v>
      </c>
      <c r="G207" s="12">
        <f>IF('Panel Dataset'!F192&gt;=$D$8,1/(1+EXP(-(LN(19)/($E$8-$D$8))*('Panel Dataset'!F192-$D$8))),1/(1+EXP(-(LN(19)/($D$8-$C$8))*('Panel Dataset'!F192-$D$8))))</f>
        <v>0.15823780397126563</v>
      </c>
      <c r="H207" s="12">
        <f>IF('Panel Dataset'!G192&gt;=$D$9,1/(1+EXP(-(LN(19)/($E$9-$D$9))*('Panel Dataset'!G192-$D$9))),1/(1+EXP(-(LN(19)/($D$9-$C$9))*('Panel Dataset'!G192-$D$9))))</f>
        <v>0.16633565942262252</v>
      </c>
      <c r="I207" s="12">
        <f>IF('Panel Dataset'!H192&gt;=$D$10,1/(1+EXP(-(LN(19)/($E$10-$D$10))*('Panel Dataset'!H192-$D$10))),1/(1+EXP(-(LN(19)/($D$10-$C$10))*('Panel Dataset'!H192-$D$10))))</f>
        <v>0.17242951800949161</v>
      </c>
      <c r="J207" s="12">
        <f>IF('Panel Dataset'!I192&gt;=$D$11,1/(1+EXP(-(LN(19)/($E$11-$D$11))*('Panel Dataset'!I192-$D$11))),1/(1+EXP(-(LN(19)/($D$11-$C$11))*('Panel Dataset'!I192-$D$11))))</f>
        <v>0.11307433097628511</v>
      </c>
    </row>
    <row r="208" spans="2:10" x14ac:dyDescent="0.3">
      <c r="B208" s="7" t="str">
        <f>'Panel Dataset'!A193</f>
        <v>Seagate Technology</v>
      </c>
      <c r="C208" s="7">
        <f>'Panel Dataset'!B193</f>
        <v>2016</v>
      </c>
      <c r="D208" s="12">
        <f>IF('Panel Dataset'!C193&gt;=$D$5,1/(1+EXP(-(LN(19)/($E$5-$D$5))*('Panel Dataset'!C193-$D$5))),1/(1+EXP(-(LN(19)/($D$5-$C$5))*('Panel Dataset'!C193-$D$5))))</f>
        <v>0.17275703310065077</v>
      </c>
      <c r="E208" s="12">
        <f>IF('Panel Dataset'!D193&gt;=$D$6,1/(1+EXP(-(LN(19)/($E$6-$D$6))*('Panel Dataset'!D193-$D$6))),1/(1+EXP(-(LN(19)/($D$6-$C$6))*('Panel Dataset'!D193-$D$6))))</f>
        <v>0.17346307542174125</v>
      </c>
      <c r="F208" s="12">
        <f>IF('Panel Dataset'!E193&gt;=$D$7,1/(1+EXP(-(LN(19)/($E$7-$D$7))*('Panel Dataset'!E193-$D$7))),1/(1+EXP(-(LN(19)/($D$7-$C$7))*('Panel Dataset'!E193-$D$7))))</f>
        <v>0.27185544342909657</v>
      </c>
      <c r="G208" s="12">
        <f>IF('Panel Dataset'!F193&gt;=$D$8,1/(1+EXP(-(LN(19)/($E$8-$D$8))*('Panel Dataset'!F193-$D$8))),1/(1+EXP(-(LN(19)/($D$8-$C$8))*('Panel Dataset'!F193-$D$8))))</f>
        <v>0.20427773921279702</v>
      </c>
      <c r="H208" s="12">
        <f>IF('Panel Dataset'!G193&gt;=$D$9,1/(1+EXP(-(LN(19)/($E$9-$D$9))*('Panel Dataset'!G193-$D$9))),1/(1+EXP(-(LN(19)/($D$9-$C$9))*('Panel Dataset'!G193-$D$9))))</f>
        <v>0.24391378371481581</v>
      </c>
      <c r="I208" s="12">
        <f>IF('Panel Dataset'!H193&gt;=$D$10,1/(1+EXP(-(LN(19)/($E$10-$D$10))*('Panel Dataset'!H193-$D$10))),1/(1+EXP(-(LN(19)/($D$10-$C$10))*('Panel Dataset'!H193-$D$10))))</f>
        <v>0.24629356513386796</v>
      </c>
      <c r="J208" s="12">
        <f>IF('Panel Dataset'!I193&gt;=$D$11,1/(1+EXP(-(LN(19)/($E$11-$D$11))*('Panel Dataset'!I193-$D$11))),1/(1+EXP(-(LN(19)/($D$11-$C$11))*('Panel Dataset'!I193-$D$11))))</f>
        <v>0.31053981225190569</v>
      </c>
    </row>
    <row r="209" spans="2:10" x14ac:dyDescent="0.3">
      <c r="B209" s="7" t="str">
        <f>'Panel Dataset'!A194</f>
        <v>Seagate Technology</v>
      </c>
      <c r="C209" s="7">
        <f>'Panel Dataset'!B194</f>
        <v>2017</v>
      </c>
      <c r="D209" s="12">
        <f>IF('Panel Dataset'!C194&gt;=$D$5,1/(1+EXP(-(LN(19)/($E$5-$D$5))*('Panel Dataset'!C194-$D$5))),1/(1+EXP(-(LN(19)/($D$5-$C$5))*('Panel Dataset'!C194-$D$5))))</f>
        <v>0.2436161007322174</v>
      </c>
      <c r="E209" s="12">
        <f>IF('Panel Dataset'!D194&gt;=$D$6,1/(1+EXP(-(LN(19)/($E$6-$D$6))*('Panel Dataset'!D194-$D$6))),1/(1+EXP(-(LN(19)/($D$6-$C$6))*('Panel Dataset'!D194-$D$6))))</f>
        <v>0.37129591721474398</v>
      </c>
      <c r="F209" s="12">
        <f>IF('Panel Dataset'!E194&gt;=$D$7,1/(1+EXP(-(LN(19)/($E$7-$D$7))*('Panel Dataset'!E194-$D$7))),1/(1+EXP(-(LN(19)/($D$7-$C$7))*('Panel Dataset'!E194-$D$7))))</f>
        <v>0.34852778532057321</v>
      </c>
      <c r="G209" s="12">
        <f>IF('Panel Dataset'!F194&gt;=$D$8,1/(1+EXP(-(LN(19)/($E$8-$D$8))*('Panel Dataset'!F194-$D$8))),1/(1+EXP(-(LN(19)/($D$8-$C$8))*('Panel Dataset'!F194-$D$8))))</f>
        <v>0.1794718956747656</v>
      </c>
      <c r="H209" s="12">
        <f>IF('Panel Dataset'!G194&gt;=$D$9,1/(1+EXP(-(LN(19)/($E$9-$D$9))*('Panel Dataset'!G194-$D$9))),1/(1+EXP(-(LN(19)/($D$9-$C$9))*('Panel Dataset'!G194-$D$9))))</f>
        <v>0.37779288087740986</v>
      </c>
      <c r="I209" s="12">
        <f>IF('Panel Dataset'!H194&gt;=$D$10,1/(1+EXP(-(LN(19)/($E$10-$D$10))*('Panel Dataset'!H194-$D$10))),1/(1+EXP(-(LN(19)/($D$10-$C$10))*('Panel Dataset'!H194-$D$10))))</f>
        <v>0.20528158935043972</v>
      </c>
      <c r="J209" s="12">
        <f>IF('Panel Dataset'!I194&gt;=$D$11,1/(1+EXP(-(LN(19)/($E$11-$D$11))*('Panel Dataset'!I194-$D$11))),1/(1+EXP(-(LN(19)/($D$11-$C$11))*('Panel Dataset'!I194-$D$11))))</f>
        <v>0.64852190515853869</v>
      </c>
    </row>
    <row r="210" spans="2:10" x14ac:dyDescent="0.3">
      <c r="B210" s="7" t="str">
        <f>'Panel Dataset'!A195</f>
        <v>Seagate Technology</v>
      </c>
      <c r="C210" s="7">
        <f>'Panel Dataset'!B195</f>
        <v>2018</v>
      </c>
      <c r="D210" s="12">
        <f>IF('Panel Dataset'!C195&gt;=$D$5,1/(1+EXP(-(LN(19)/($E$5-$D$5))*('Panel Dataset'!C195-$D$5))),1/(1+EXP(-(LN(19)/($D$5-$C$5))*('Panel Dataset'!C195-$D$5))))</f>
        <v>0.40010347686110914</v>
      </c>
      <c r="E210" s="12">
        <f>IF('Panel Dataset'!D195&gt;=$D$6,1/(1+EXP(-(LN(19)/($E$6-$D$6))*('Panel Dataset'!D195-$D$6))),1/(1+EXP(-(LN(19)/($D$6-$C$6))*('Panel Dataset'!D195-$D$6))))</f>
        <v>0.39156228780893948</v>
      </c>
      <c r="F210" s="12">
        <f>IF('Panel Dataset'!E195&gt;=$D$7,1/(1+EXP(-(LN(19)/($E$7-$D$7))*('Panel Dataset'!E195-$D$7))),1/(1+EXP(-(LN(19)/($D$7-$C$7))*('Panel Dataset'!E195-$D$7))))</f>
        <v>0.43158893343397298</v>
      </c>
      <c r="G210" s="12">
        <f>IF('Panel Dataset'!F195&gt;=$D$8,1/(1+EXP(-(LN(19)/($E$8-$D$8))*('Panel Dataset'!F195-$D$8))),1/(1+EXP(-(LN(19)/($D$8-$C$8))*('Panel Dataset'!F195-$D$8))))</f>
        <v>0.26753411838411423</v>
      </c>
      <c r="H210" s="12">
        <f>IF('Panel Dataset'!G195&gt;=$D$9,1/(1+EXP(-(LN(19)/($E$9-$D$9))*('Panel Dataset'!G195-$D$9))),1/(1+EXP(-(LN(19)/($D$9-$C$9))*('Panel Dataset'!G195-$D$9))))</f>
        <v>0.43358680670810335</v>
      </c>
      <c r="I210" s="12">
        <f>IF('Panel Dataset'!H195&gt;=$D$10,1/(1+EXP(-(LN(19)/($E$10-$D$10))*('Panel Dataset'!H195-$D$10))),1/(1+EXP(-(LN(19)/($D$10-$C$10))*('Panel Dataset'!H195-$D$10))))</f>
        <v>0.18032479494739545</v>
      </c>
      <c r="J210" s="12">
        <f>IF('Panel Dataset'!I195&gt;=$D$11,1/(1+EXP(-(LN(19)/($E$11-$D$11))*('Panel Dataset'!I195-$D$11))),1/(1+EXP(-(LN(19)/($D$11-$C$11))*('Panel Dataset'!I195-$D$11))))</f>
        <v>0.20766444548237303</v>
      </c>
    </row>
    <row r="211" spans="2:10" x14ac:dyDescent="0.3">
      <c r="B211" s="7" t="str">
        <f>'Panel Dataset'!A196</f>
        <v>Seagate Technology</v>
      </c>
      <c r="C211" s="7">
        <f>'Panel Dataset'!B196</f>
        <v>2019</v>
      </c>
      <c r="D211" s="12">
        <f>IF('Panel Dataset'!C196&gt;=$D$5,1/(1+EXP(-(LN(19)/($E$5-$D$5))*('Panel Dataset'!C196-$D$5))),1/(1+EXP(-(LN(19)/($D$5-$C$5))*('Panel Dataset'!C196-$D$5))))</f>
        <v>0.51391930492165538</v>
      </c>
      <c r="E211" s="12">
        <f>IF('Panel Dataset'!D196&gt;=$D$6,1/(1+EXP(-(LN(19)/($E$6-$D$6))*('Panel Dataset'!D196-$D$6))),1/(1+EXP(-(LN(19)/($D$6-$C$6))*('Panel Dataset'!D196-$D$6))))</f>
        <v>0.52907883451627113</v>
      </c>
      <c r="F211" s="12">
        <f>IF('Panel Dataset'!E196&gt;=$D$7,1/(1+EXP(-(LN(19)/($E$7-$D$7))*('Panel Dataset'!E196-$D$7))),1/(1+EXP(-(LN(19)/($D$7-$C$7))*('Panel Dataset'!E196-$D$7))))</f>
        <v>0.68914224668710045</v>
      </c>
      <c r="G211" s="12">
        <f>IF('Panel Dataset'!F196&gt;=$D$8,1/(1+EXP(-(LN(19)/($E$8-$D$8))*('Panel Dataset'!F196-$D$8))),1/(1+EXP(-(LN(19)/($D$8-$C$8))*('Panel Dataset'!F196-$D$8))))</f>
        <v>0.52845656523520523</v>
      </c>
      <c r="H211" s="12">
        <f>IF('Panel Dataset'!G196&gt;=$D$9,1/(1+EXP(-(LN(19)/($E$9-$D$9))*('Panel Dataset'!G196-$D$9))),1/(1+EXP(-(LN(19)/($D$9-$C$9))*('Panel Dataset'!G196-$D$9))))</f>
        <v>0.48969292744753268</v>
      </c>
      <c r="I211" s="12">
        <f>IF('Panel Dataset'!H196&gt;=$D$10,1/(1+EXP(-(LN(19)/($E$10-$D$10))*('Panel Dataset'!H196-$D$10))),1/(1+EXP(-(LN(19)/($D$10-$C$10))*('Panel Dataset'!H196-$D$10))))</f>
        <v>0.28034196194816413</v>
      </c>
      <c r="J211" s="12">
        <f>IF('Panel Dataset'!I196&gt;=$D$11,1/(1+EXP(-(LN(19)/($E$11-$D$11))*('Panel Dataset'!I196-$D$11))),1/(1+EXP(-(LN(19)/($D$11-$C$11))*('Panel Dataset'!I196-$D$11))))</f>
        <v>0.50803168331101156</v>
      </c>
    </row>
    <row r="212" spans="2:10" x14ac:dyDescent="0.3">
      <c r="B212" s="7" t="str">
        <f>'Panel Dataset'!A197</f>
        <v>Seagate Technology</v>
      </c>
      <c r="C212" s="7">
        <f>'Panel Dataset'!B197</f>
        <v>2020</v>
      </c>
      <c r="D212" s="12">
        <f>IF('Panel Dataset'!C197&gt;=$D$5,1/(1+EXP(-(LN(19)/($E$5-$D$5))*('Panel Dataset'!C197-$D$5))),1/(1+EXP(-(LN(19)/($D$5-$C$5))*('Panel Dataset'!C197-$D$5))))</f>
        <v>0.79154050768196027</v>
      </c>
      <c r="E212" s="12">
        <f>IF('Panel Dataset'!D197&gt;=$D$6,1/(1+EXP(-(LN(19)/($E$6-$D$6))*('Panel Dataset'!D197-$D$6))),1/(1+EXP(-(LN(19)/($D$6-$C$6))*('Panel Dataset'!D197-$D$6))))</f>
        <v>0.60338542223219793</v>
      </c>
      <c r="F212" s="12">
        <f>IF('Panel Dataset'!E197&gt;=$D$7,1/(1+EXP(-(LN(19)/($E$7-$D$7))*('Panel Dataset'!E197-$D$7))),1/(1+EXP(-(LN(19)/($D$7-$C$7))*('Panel Dataset'!E197-$D$7))))</f>
        <v>0.69647180878699755</v>
      </c>
      <c r="G212" s="12">
        <f>IF('Panel Dataset'!F197&gt;=$D$8,1/(1+EXP(-(LN(19)/($E$8-$D$8))*('Panel Dataset'!F197-$D$8))),1/(1+EXP(-(LN(19)/($D$8-$C$8))*('Panel Dataset'!F197-$D$8))))</f>
        <v>0.76725142873782448</v>
      </c>
      <c r="H212" s="12">
        <f>IF('Panel Dataset'!G197&gt;=$D$9,1/(1+EXP(-(LN(19)/($E$9-$D$9))*('Panel Dataset'!G197-$D$9))),1/(1+EXP(-(LN(19)/($D$9-$C$9))*('Panel Dataset'!G197-$D$9))))</f>
        <v>0.82218970616425791</v>
      </c>
      <c r="I212" s="12">
        <f>IF('Panel Dataset'!H197&gt;=$D$10,1/(1+EXP(-(LN(19)/($E$10-$D$10))*('Panel Dataset'!H197-$D$10))),1/(1+EXP(-(LN(19)/($D$10-$C$10))*('Panel Dataset'!H197-$D$10))))</f>
        <v>0.538546042205302</v>
      </c>
      <c r="J212" s="12">
        <f>IF('Panel Dataset'!I197&gt;=$D$11,1/(1+EXP(-(LN(19)/($E$11-$D$11))*('Panel Dataset'!I197-$D$11))),1/(1+EXP(-(LN(19)/($D$11-$C$11))*('Panel Dataset'!I197-$D$11))))</f>
        <v>0.24801425422114676</v>
      </c>
    </row>
    <row r="213" spans="2:10" x14ac:dyDescent="0.3">
      <c r="B213" s="7" t="str">
        <f>'Panel Dataset'!A198</f>
        <v>Seagate Technology</v>
      </c>
      <c r="C213" s="7">
        <f>'Panel Dataset'!B198</f>
        <v>2021</v>
      </c>
      <c r="D213" s="12">
        <f>IF('Panel Dataset'!C198&gt;=$D$5,1/(1+EXP(-(LN(19)/($E$5-$D$5))*('Panel Dataset'!C198-$D$5))),1/(1+EXP(-(LN(19)/($D$5-$C$5))*('Panel Dataset'!C198-$D$5))))</f>
        <v>0.86987370079358584</v>
      </c>
      <c r="E213" s="12">
        <f>IF('Panel Dataset'!D198&gt;=$D$6,1/(1+EXP(-(LN(19)/($E$6-$D$6))*('Panel Dataset'!D198-$D$6))),1/(1+EXP(-(LN(19)/($D$6-$C$6))*('Panel Dataset'!D198-$D$6))))</f>
        <v>0.78389716613870442</v>
      </c>
      <c r="F213" s="12">
        <f>IF('Panel Dataset'!E198&gt;=$D$7,1/(1+EXP(-(LN(19)/($E$7-$D$7))*('Panel Dataset'!E198-$D$7))),1/(1+EXP(-(LN(19)/($D$7-$C$7))*('Panel Dataset'!E198-$D$7))))</f>
        <v>0.76265749980370834</v>
      </c>
      <c r="G213" s="12">
        <f>IF('Panel Dataset'!F198&gt;=$D$8,1/(1+EXP(-(LN(19)/($E$8-$D$8))*('Panel Dataset'!F198-$D$8))),1/(1+EXP(-(LN(19)/($D$8-$C$8))*('Panel Dataset'!F198-$D$8))))</f>
        <v>0.89368851579746844</v>
      </c>
      <c r="H213" s="12">
        <f>IF('Panel Dataset'!G198&gt;=$D$9,1/(1+EXP(-(LN(19)/($E$9-$D$9))*('Panel Dataset'!G198-$D$9))),1/(1+EXP(-(LN(19)/($D$9-$C$9))*('Panel Dataset'!G198-$D$9))))</f>
        <v>0.92183397497798503</v>
      </c>
      <c r="I213" s="12">
        <f>IF('Panel Dataset'!H198&gt;=$D$10,1/(1+EXP(-(LN(19)/($E$10-$D$10))*('Panel Dataset'!H198-$D$10))),1/(1+EXP(-(LN(19)/($D$10-$C$10))*('Panel Dataset'!H198-$D$10))))</f>
        <v>0.82746655432080762</v>
      </c>
      <c r="J213" s="12">
        <f>IF('Panel Dataset'!I198&gt;=$D$11,1/(1+EXP(-(LN(19)/($E$11-$D$11))*('Panel Dataset'!I198-$D$11))),1/(1+EXP(-(LN(19)/($D$11-$C$11))*('Panel Dataset'!I198-$D$11))))</f>
        <v>0.83175153044893058</v>
      </c>
    </row>
    <row r="214" spans="2:10" x14ac:dyDescent="0.3">
      <c r="B214" s="7" t="str">
        <f>'Panel Dataset'!A199</f>
        <v>Seagate Technology</v>
      </c>
      <c r="C214" s="7">
        <f>'Panel Dataset'!B199</f>
        <v>2022</v>
      </c>
      <c r="D214" s="12">
        <f>IF('Panel Dataset'!C199&gt;=$D$5,1/(1+EXP(-(LN(19)/($E$5-$D$5))*('Panel Dataset'!C199-$D$5))),1/(1+EXP(-(LN(19)/($D$5-$C$5))*('Panel Dataset'!C199-$D$5))))</f>
        <v>0.94159042651123703</v>
      </c>
      <c r="E214" s="12">
        <f>IF('Panel Dataset'!D199&gt;=$D$6,1/(1+EXP(-(LN(19)/($E$6-$D$6))*('Panel Dataset'!D199-$D$6))),1/(1+EXP(-(LN(19)/($D$6-$C$6))*('Panel Dataset'!D199-$D$6))))</f>
        <v>0.84851351583971912</v>
      </c>
      <c r="F214" s="12">
        <f>IF('Panel Dataset'!E199&gt;=$D$7,1/(1+EXP(-(LN(19)/($E$7-$D$7))*('Panel Dataset'!E199-$D$7))),1/(1+EXP(-(LN(19)/($D$7-$C$7))*('Panel Dataset'!E199-$D$7))))</f>
        <v>0.88491275335760611</v>
      </c>
      <c r="G214" s="12">
        <f>IF('Panel Dataset'!F199&gt;=$D$8,1/(1+EXP(-(LN(19)/($E$8-$D$8))*('Panel Dataset'!F199-$D$8))),1/(1+EXP(-(LN(19)/($D$8-$C$8))*('Panel Dataset'!F199-$D$8))))</f>
        <v>0.95180798300118241</v>
      </c>
      <c r="H214" s="12">
        <f>IF('Panel Dataset'!G199&gt;=$D$9,1/(1+EXP(-(LN(19)/($E$9-$D$9))*('Panel Dataset'!G199-$D$9))),1/(1+EXP(-(LN(19)/($D$9-$C$9))*('Panel Dataset'!G199-$D$9))))</f>
        <v>0.80461727252632331</v>
      </c>
      <c r="I214" s="12">
        <f>IF('Panel Dataset'!H199&gt;=$D$10,1/(1+EXP(-(LN(19)/($E$10-$D$10))*('Panel Dataset'!H199-$D$10))),1/(1+EXP(-(LN(19)/($D$10-$C$10))*('Panel Dataset'!H199-$D$10))))</f>
        <v>0.89989383653314881</v>
      </c>
      <c r="J214" s="12">
        <f>IF('Panel Dataset'!I199&gt;=$D$11,1/(1+EXP(-(LN(19)/($E$11-$D$11))*('Panel Dataset'!I199-$D$11))),1/(1+EXP(-(LN(19)/($D$11-$C$11))*('Panel Dataset'!I199-$D$11))))</f>
        <v>0.74943130884056286</v>
      </c>
    </row>
    <row r="215" spans="2:10" x14ac:dyDescent="0.3">
      <c r="B215" s="7" t="str">
        <f>'Panel Dataset'!A200</f>
        <v>Seagate Technology</v>
      </c>
      <c r="C215" s="7">
        <f>'Panel Dataset'!B200</f>
        <v>2023</v>
      </c>
      <c r="D215" s="12">
        <f>IF('Panel Dataset'!C200&gt;=$D$5,1/(1+EXP(-(LN(19)/($E$5-$D$5))*('Panel Dataset'!C200-$D$5))),1/(1+EXP(-(LN(19)/($D$5-$C$5))*('Panel Dataset'!C200-$D$5))))</f>
        <v>0.92150342956814646</v>
      </c>
      <c r="E215" s="12">
        <f>IF('Panel Dataset'!D200&gt;=$D$6,1/(1+EXP(-(LN(19)/($E$6-$D$6))*('Panel Dataset'!D200-$D$6))),1/(1+EXP(-(LN(19)/($D$6-$C$6))*('Panel Dataset'!D200-$D$6))))</f>
        <v>0.94190561977492837</v>
      </c>
      <c r="F215" s="12">
        <f>IF('Panel Dataset'!E200&gt;=$D$7,1/(1+EXP(-(LN(19)/($E$7-$D$7))*('Panel Dataset'!E200-$D$7))),1/(1+EXP(-(LN(19)/($D$7-$C$7))*('Panel Dataset'!E200-$D$7))))</f>
        <v>0.91442459319989089</v>
      </c>
      <c r="G215" s="12">
        <f>IF('Panel Dataset'!F200&gt;=$D$8,1/(1+EXP(-(LN(19)/($E$8-$D$8))*('Panel Dataset'!F200-$D$8))),1/(1+EXP(-(LN(19)/($D$8-$C$8))*('Panel Dataset'!F200-$D$8))))</f>
        <v>0.97219343448492035</v>
      </c>
      <c r="H215" s="12">
        <f>IF('Panel Dataset'!G200&gt;=$D$9,1/(1+EXP(-(LN(19)/($E$9-$D$9))*('Panel Dataset'!G200-$D$9))),1/(1+EXP(-(LN(19)/($D$9-$C$9))*('Panel Dataset'!G200-$D$9))))</f>
        <v>0.89693907470447487</v>
      </c>
      <c r="I215" s="12">
        <f>IF('Panel Dataset'!H200&gt;=$D$10,1/(1+EXP(-(LN(19)/($E$10-$D$10))*('Panel Dataset'!H200-$D$10))),1/(1+EXP(-(LN(19)/($D$10-$C$10))*('Panel Dataset'!H200-$D$10))))</f>
        <v>0.94357314940421322</v>
      </c>
      <c r="J215" s="12">
        <f>IF('Panel Dataset'!I200&gt;=$D$11,1/(1+EXP(-(LN(19)/($E$11-$D$11))*('Panel Dataset'!I200-$D$11))),1/(1+EXP(-(LN(19)/($D$11-$C$11))*('Panel Dataset'!I200-$D$11))))</f>
        <v>0.9517069320833218</v>
      </c>
    </row>
    <row r="216" spans="2:10" x14ac:dyDescent="0.3">
      <c r="B216" s="7" t="str">
        <f>'Panel Dataset'!A201</f>
        <v>Seagate Technology</v>
      </c>
      <c r="C216" s="7">
        <f>'Panel Dataset'!B201</f>
        <v>2024</v>
      </c>
      <c r="D216" s="12">
        <f>IF('Panel Dataset'!C201&gt;=$D$5,1/(1+EXP(-(LN(19)/($E$5-$D$5))*('Panel Dataset'!C201-$D$5))),1/(1+EXP(-(LN(19)/($D$5-$C$5))*('Panel Dataset'!C201-$D$5))))</f>
        <v>0.96010855177396248</v>
      </c>
      <c r="E216" s="12">
        <f>IF('Panel Dataset'!D201&gt;=$D$6,1/(1+EXP(-(LN(19)/($E$6-$D$6))*('Panel Dataset'!D201-$D$6))),1/(1+EXP(-(LN(19)/($D$6-$C$6))*('Panel Dataset'!D201-$D$6))))</f>
        <v>0.9744508008404239</v>
      </c>
      <c r="F216" s="12">
        <f>IF('Panel Dataset'!E201&gt;=$D$7,1/(1+EXP(-(LN(19)/($E$7-$D$7))*('Panel Dataset'!E201-$D$7))),1/(1+EXP(-(LN(19)/($D$7-$C$7))*('Panel Dataset'!E201-$D$7))))</f>
        <v>0.9752023864838536</v>
      </c>
      <c r="G216" s="12">
        <f>IF('Panel Dataset'!F201&gt;=$D$8,1/(1+EXP(-(LN(19)/($E$8-$D$8))*('Panel Dataset'!F201-$D$8))),1/(1+EXP(-(LN(19)/($D$8-$C$8))*('Panel Dataset'!F201-$D$8))))</f>
        <v>0.96802374141765613</v>
      </c>
      <c r="H216" s="12">
        <f>IF('Panel Dataset'!G201&gt;=$D$9,1/(1+EXP(-(LN(19)/($E$9-$D$9))*('Panel Dataset'!G201-$D$9))),1/(1+EXP(-(LN(19)/($D$9-$C$9))*('Panel Dataset'!G201-$D$9))))</f>
        <v>0.95782079647989393</v>
      </c>
      <c r="I216" s="12">
        <f>IF('Panel Dataset'!H201&gt;=$D$10,1/(1+EXP(-(LN(19)/($E$10-$D$10))*('Panel Dataset'!H201-$D$10))),1/(1+EXP(-(LN(19)/($D$10-$C$10))*('Panel Dataset'!H201-$D$10))))</f>
        <v>0.95023802836658167</v>
      </c>
      <c r="J216" s="12">
        <f>IF('Panel Dataset'!I201&gt;=$D$11,1/(1+EXP(-(LN(19)/($E$11-$D$11))*('Panel Dataset'!I201-$D$11))),1/(1+EXP(-(LN(19)/($D$11-$C$11))*('Panel Dataset'!I201-$D$11))))</f>
        <v>0.96294327148080983</v>
      </c>
    </row>
    <row r="217" spans="2:10" x14ac:dyDescent="0.3">
      <c r="B217" s="7" t="str">
        <f>'Panel Dataset'!A202</f>
        <v>Skyworks Solutions</v>
      </c>
      <c r="C217" s="7">
        <f>'Panel Dataset'!B202</f>
        <v>2015</v>
      </c>
      <c r="D217" s="12">
        <f>IF('Panel Dataset'!C202&gt;=$D$5,1/(1+EXP(-(LN(19)/($E$5-$D$5))*('Panel Dataset'!C202-$D$5))),1/(1+EXP(-(LN(19)/($D$5-$C$5))*('Panel Dataset'!C202-$D$5))))</f>
        <v>0.12680054000102112</v>
      </c>
      <c r="E217" s="12">
        <f>IF('Panel Dataset'!D202&gt;=$D$6,1/(1+EXP(-(LN(19)/($E$6-$D$6))*('Panel Dataset'!D202-$D$6))),1/(1+EXP(-(LN(19)/($D$6-$C$6))*('Panel Dataset'!D202-$D$6))))</f>
        <v>2.9230479493095058E-2</v>
      </c>
      <c r="F217" s="12">
        <f>IF('Panel Dataset'!E202&gt;=$D$7,1/(1+EXP(-(LN(19)/($E$7-$D$7))*('Panel Dataset'!E202-$D$7))),1/(1+EXP(-(LN(19)/($D$7-$C$7))*('Panel Dataset'!E202-$D$7))))</f>
        <v>0.12028384704405874</v>
      </c>
      <c r="G217" s="12">
        <f>IF('Panel Dataset'!F202&gt;=$D$8,1/(1+EXP(-(LN(19)/($E$8-$D$8))*('Panel Dataset'!F202-$D$8))),1/(1+EXP(-(LN(19)/($D$8-$C$8))*('Panel Dataset'!F202-$D$8))))</f>
        <v>0.11955146958311713</v>
      </c>
      <c r="H217" s="12">
        <f>IF('Panel Dataset'!G202&gt;=$D$9,1/(1+EXP(-(LN(19)/($E$9-$D$9))*('Panel Dataset'!G202-$D$9))),1/(1+EXP(-(LN(19)/($D$9-$C$9))*('Panel Dataset'!G202-$D$9))))</f>
        <v>7.5020129424278881E-2</v>
      </c>
      <c r="I217" s="12">
        <f>IF('Panel Dataset'!H202&gt;=$D$10,1/(1+EXP(-(LN(19)/($E$10-$D$10))*('Panel Dataset'!H202-$D$10))),1/(1+EXP(-(LN(19)/($D$10-$C$10))*('Panel Dataset'!H202-$D$10))))</f>
        <v>0.19161265609065511</v>
      </c>
      <c r="J217" s="12">
        <f>IF('Panel Dataset'!I202&gt;=$D$11,1/(1+EXP(-(LN(19)/($E$11-$D$11))*('Panel Dataset'!I202-$D$11))),1/(1+EXP(-(LN(19)/($D$11-$C$11))*('Panel Dataset'!I202-$D$11))))</f>
        <v>0.33436131137906788</v>
      </c>
    </row>
    <row r="218" spans="2:10" x14ac:dyDescent="0.3">
      <c r="B218" s="7" t="str">
        <f>'Panel Dataset'!A203</f>
        <v>Skyworks Solutions</v>
      </c>
      <c r="C218" s="7">
        <f>'Panel Dataset'!B203</f>
        <v>2016</v>
      </c>
      <c r="D218" s="12">
        <f>IF('Panel Dataset'!C203&gt;=$D$5,1/(1+EXP(-(LN(19)/($E$5-$D$5))*('Panel Dataset'!C203-$D$5))),1/(1+EXP(-(LN(19)/($D$5-$C$5))*('Panel Dataset'!C203-$D$5))))</f>
        <v>0.13358605401561477</v>
      </c>
      <c r="E218" s="12">
        <f>IF('Panel Dataset'!D203&gt;=$D$6,1/(1+EXP(-(LN(19)/($E$6-$D$6))*('Panel Dataset'!D203-$D$6))),1/(1+EXP(-(LN(19)/($D$6-$C$6))*('Panel Dataset'!D203-$D$6))))</f>
        <v>6.4498191134466587E-2</v>
      </c>
      <c r="F218" s="12">
        <f>IF('Panel Dataset'!E203&gt;=$D$7,1/(1+EXP(-(LN(19)/($E$7-$D$7))*('Panel Dataset'!E203-$D$7))),1/(1+EXP(-(LN(19)/($D$7-$C$7))*('Panel Dataset'!E203-$D$7))))</f>
        <v>0.23567029442925458</v>
      </c>
      <c r="G218" s="12">
        <f>IF('Panel Dataset'!F203&gt;=$D$8,1/(1+EXP(-(LN(19)/($E$8-$D$8))*('Panel Dataset'!F203-$D$8))),1/(1+EXP(-(LN(19)/($D$8-$C$8))*('Panel Dataset'!F203-$D$8))))</f>
        <v>0.15414720895515119</v>
      </c>
      <c r="H218" s="12">
        <f>IF('Panel Dataset'!G203&gt;=$D$9,1/(1+EXP(-(LN(19)/($E$9-$D$9))*('Panel Dataset'!G203-$D$9))),1/(1+EXP(-(LN(19)/($D$9-$C$9))*('Panel Dataset'!G203-$D$9))))</f>
        <v>9.2606275320368719E-2</v>
      </c>
      <c r="I218" s="12">
        <f>IF('Panel Dataset'!H203&gt;=$D$10,1/(1+EXP(-(LN(19)/($E$10-$D$10))*('Panel Dataset'!H203-$D$10))),1/(1+EXP(-(LN(19)/($D$10-$C$10))*('Panel Dataset'!H203-$D$10))))</f>
        <v>0.19936550128784478</v>
      </c>
      <c r="J218" s="12">
        <f>IF('Panel Dataset'!I203&gt;=$D$11,1/(1+EXP(-(LN(19)/($E$11-$D$11))*('Panel Dataset'!I203-$D$11))),1/(1+EXP(-(LN(19)/($D$11-$C$11))*('Panel Dataset'!I203-$D$11))))</f>
        <v>0.18319060501694745</v>
      </c>
    </row>
    <row r="219" spans="2:10" x14ac:dyDescent="0.3">
      <c r="B219" s="7" t="str">
        <f>'Panel Dataset'!A204</f>
        <v>Skyworks Solutions</v>
      </c>
      <c r="C219" s="7">
        <f>'Panel Dataset'!B204</f>
        <v>2017</v>
      </c>
      <c r="D219" s="12">
        <f>IF('Panel Dataset'!C204&gt;=$D$5,1/(1+EXP(-(LN(19)/($E$5-$D$5))*('Panel Dataset'!C204-$D$5))),1/(1+EXP(-(LN(19)/($D$5-$C$5))*('Panel Dataset'!C204-$D$5))))</f>
        <v>0.12163956931752493</v>
      </c>
      <c r="E219" s="12">
        <f>IF('Panel Dataset'!D204&gt;=$D$6,1/(1+EXP(-(LN(19)/($E$6-$D$6))*('Panel Dataset'!D204-$D$6))),1/(1+EXP(-(LN(19)/($D$6-$C$6))*('Panel Dataset'!D204-$D$6))))</f>
        <v>5.256643755711761E-2</v>
      </c>
      <c r="F219" s="12">
        <f>IF('Panel Dataset'!E204&gt;=$D$7,1/(1+EXP(-(LN(19)/($E$7-$D$7))*('Panel Dataset'!E204-$D$7))),1/(1+EXP(-(LN(19)/($D$7-$C$7))*('Panel Dataset'!E204-$D$7))))</f>
        <v>0.33774692939399059</v>
      </c>
      <c r="G219" s="12">
        <f>IF('Panel Dataset'!F204&gt;=$D$8,1/(1+EXP(-(LN(19)/($E$8-$D$8))*('Panel Dataset'!F204-$D$8))),1/(1+EXP(-(LN(19)/($D$8-$C$8))*('Panel Dataset'!F204-$D$8))))</f>
        <v>0.12624152921580609</v>
      </c>
      <c r="H219" s="12">
        <f>IF('Panel Dataset'!G204&gt;=$D$9,1/(1+EXP(-(LN(19)/($E$9-$D$9))*('Panel Dataset'!G204-$D$9))),1/(1+EXP(-(LN(19)/($D$9-$C$9))*('Panel Dataset'!G204-$D$9))))</f>
        <v>0.26516546494648258</v>
      </c>
      <c r="I219" s="12">
        <f>IF('Panel Dataset'!H204&gt;=$D$10,1/(1+EXP(-(LN(19)/($E$10-$D$10))*('Panel Dataset'!H204-$D$10))),1/(1+EXP(-(LN(19)/($D$10-$C$10))*('Panel Dataset'!H204-$D$10))))</f>
        <v>0.22689473589622472</v>
      </c>
      <c r="J219" s="12">
        <f>IF('Panel Dataset'!I204&gt;=$D$11,1/(1+EXP(-(LN(19)/($E$11-$D$11))*('Panel Dataset'!I204-$D$11))),1/(1+EXP(-(LN(19)/($D$11-$C$11))*('Panel Dataset'!I204-$D$11))))</f>
        <v>0.12321510287937334</v>
      </c>
    </row>
    <row r="220" spans="2:10" x14ac:dyDescent="0.3">
      <c r="B220" s="7" t="str">
        <f>'Panel Dataset'!A205</f>
        <v>Skyworks Solutions</v>
      </c>
      <c r="C220" s="7">
        <f>'Panel Dataset'!B205</f>
        <v>2018</v>
      </c>
      <c r="D220" s="12">
        <f>IF('Panel Dataset'!C205&gt;=$D$5,1/(1+EXP(-(LN(19)/($E$5-$D$5))*('Panel Dataset'!C205-$D$5))),1/(1+EXP(-(LN(19)/($D$5-$C$5))*('Panel Dataset'!C205-$D$5))))</f>
        <v>0.15157712386115213</v>
      </c>
      <c r="E220" s="12">
        <f>IF('Panel Dataset'!D205&gt;=$D$6,1/(1+EXP(-(LN(19)/($E$6-$D$6))*('Panel Dataset'!D205-$D$6))),1/(1+EXP(-(LN(19)/($D$6-$C$6))*('Panel Dataset'!D205-$D$6))))</f>
        <v>0.18446054598335859</v>
      </c>
      <c r="F220" s="12">
        <f>IF('Panel Dataset'!E205&gt;=$D$7,1/(1+EXP(-(LN(19)/($E$7-$D$7))*('Panel Dataset'!E205-$D$7))),1/(1+EXP(-(LN(19)/($D$7-$C$7))*('Panel Dataset'!E205-$D$7))))</f>
        <v>0.56284514605916092</v>
      </c>
      <c r="G220" s="12">
        <f>IF('Panel Dataset'!F205&gt;=$D$8,1/(1+EXP(-(LN(19)/($E$8-$D$8))*('Panel Dataset'!F205-$D$8))),1/(1+EXP(-(LN(19)/($D$8-$C$8))*('Panel Dataset'!F205-$D$8))))</f>
        <v>0.17086291918319321</v>
      </c>
      <c r="H220" s="12">
        <f>IF('Panel Dataset'!G205&gt;=$D$9,1/(1+EXP(-(LN(19)/($E$9-$D$9))*('Panel Dataset'!G205-$D$9))),1/(1+EXP(-(LN(19)/($D$9-$C$9))*('Panel Dataset'!G205-$D$9))))</f>
        <v>0.26739171410257156</v>
      </c>
      <c r="I220" s="12">
        <f>IF('Panel Dataset'!H205&gt;=$D$10,1/(1+EXP(-(LN(19)/($E$10-$D$10))*('Panel Dataset'!H205-$D$10))),1/(1+EXP(-(LN(19)/($D$10-$C$10))*('Panel Dataset'!H205-$D$10))))</f>
        <v>0.18466228150602626</v>
      </c>
      <c r="J220" s="12">
        <f>IF('Panel Dataset'!I205&gt;=$D$11,1/(1+EXP(-(LN(19)/($E$11-$D$11))*('Panel Dataset'!I205-$D$11))),1/(1+EXP(-(LN(19)/($D$11-$C$11))*('Panel Dataset'!I205-$D$11))))</f>
        <v>0.11504243488232133</v>
      </c>
    </row>
    <row r="221" spans="2:10" x14ac:dyDescent="0.3">
      <c r="B221" s="7" t="str">
        <f>'Panel Dataset'!A206</f>
        <v>Skyworks Solutions</v>
      </c>
      <c r="C221" s="7">
        <f>'Panel Dataset'!B206</f>
        <v>2019</v>
      </c>
      <c r="D221" s="12">
        <f>IF('Panel Dataset'!C206&gt;=$D$5,1/(1+EXP(-(LN(19)/($E$5-$D$5))*('Panel Dataset'!C206-$D$5))),1/(1+EXP(-(LN(19)/($D$5-$C$5))*('Panel Dataset'!C206-$D$5))))</f>
        <v>0.26056043055402428</v>
      </c>
      <c r="E221" s="12">
        <f>IF('Panel Dataset'!D206&gt;=$D$6,1/(1+EXP(-(LN(19)/($E$6-$D$6))*('Panel Dataset'!D206-$D$6))),1/(1+EXP(-(LN(19)/($D$6-$C$6))*('Panel Dataset'!D206-$D$6))))</f>
        <v>0.23756291949475905</v>
      </c>
      <c r="F221" s="12">
        <f>IF('Panel Dataset'!E206&gt;=$D$7,1/(1+EXP(-(LN(19)/($E$7-$D$7))*('Panel Dataset'!E206-$D$7))),1/(1+EXP(-(LN(19)/($D$7-$C$7))*('Panel Dataset'!E206-$D$7))))</f>
        <v>0.73047137544255225</v>
      </c>
      <c r="G221" s="12">
        <f>IF('Panel Dataset'!F206&gt;=$D$8,1/(1+EXP(-(LN(19)/($E$8-$D$8))*('Panel Dataset'!F206-$D$8))),1/(1+EXP(-(LN(19)/($D$8-$C$8))*('Panel Dataset'!F206-$D$8))))</f>
        <v>0.32024370876333497</v>
      </c>
      <c r="H221" s="12">
        <f>IF('Panel Dataset'!G206&gt;=$D$9,1/(1+EXP(-(LN(19)/($E$9-$D$9))*('Panel Dataset'!G206-$D$9))),1/(1+EXP(-(LN(19)/($D$9-$C$9))*('Panel Dataset'!G206-$D$9))))</f>
        <v>0.3596711657486682</v>
      </c>
      <c r="I221" s="12">
        <f>IF('Panel Dataset'!H206&gt;=$D$10,1/(1+EXP(-(LN(19)/($E$10-$D$10))*('Panel Dataset'!H206-$D$10))),1/(1+EXP(-(LN(19)/($D$10-$C$10))*('Panel Dataset'!H206-$D$10))))</f>
        <v>0.21987741443934983</v>
      </c>
      <c r="J221" s="12">
        <f>IF('Panel Dataset'!I206&gt;=$D$11,1/(1+EXP(-(LN(19)/($E$11-$D$11))*('Panel Dataset'!I206-$D$11))),1/(1+EXP(-(LN(19)/($D$11-$C$11))*('Panel Dataset'!I206-$D$11))))</f>
        <v>0.4021853573873837</v>
      </c>
    </row>
    <row r="222" spans="2:10" x14ac:dyDescent="0.3">
      <c r="B222" s="7" t="str">
        <f>'Panel Dataset'!A207</f>
        <v>Skyworks Solutions</v>
      </c>
      <c r="C222" s="7">
        <f>'Panel Dataset'!B207</f>
        <v>2020</v>
      </c>
      <c r="D222" s="12">
        <f>IF('Panel Dataset'!C207&gt;=$D$5,1/(1+EXP(-(LN(19)/($E$5-$D$5))*('Panel Dataset'!C207-$D$5))),1/(1+EXP(-(LN(19)/($D$5-$C$5))*('Panel Dataset'!C207-$D$5))))</f>
        <v>0.46870289109440155</v>
      </c>
      <c r="E222" s="12">
        <f>IF('Panel Dataset'!D207&gt;=$D$6,1/(1+EXP(-(LN(19)/($E$6-$D$6))*('Panel Dataset'!D207-$D$6))),1/(1+EXP(-(LN(19)/($D$6-$C$6))*('Panel Dataset'!D207-$D$6))))</f>
        <v>0.20704678123818349</v>
      </c>
      <c r="F222" s="12">
        <f>IF('Panel Dataset'!E207&gt;=$D$7,1/(1+EXP(-(LN(19)/($E$7-$D$7))*('Panel Dataset'!E207-$D$7))),1/(1+EXP(-(LN(19)/($D$7-$C$7))*('Panel Dataset'!E207-$D$7))))</f>
        <v>0.75032325810200151</v>
      </c>
      <c r="G222" s="12">
        <f>IF('Panel Dataset'!F207&gt;=$D$8,1/(1+EXP(-(LN(19)/($E$8-$D$8))*('Panel Dataset'!F207-$D$8))),1/(1+EXP(-(LN(19)/($D$8-$C$8))*('Panel Dataset'!F207-$D$8))))</f>
        <v>0.55771573452741507</v>
      </c>
      <c r="H222" s="12">
        <f>IF('Panel Dataset'!G207&gt;=$D$9,1/(1+EXP(-(LN(19)/($E$9-$D$9))*('Panel Dataset'!G207-$D$9))),1/(1+EXP(-(LN(19)/($D$9-$C$9))*('Panel Dataset'!G207-$D$9))))</f>
        <v>0.70797022599587145</v>
      </c>
      <c r="I222" s="12">
        <f>IF('Panel Dataset'!H207&gt;=$D$10,1/(1+EXP(-(LN(19)/($E$10-$D$10))*('Panel Dataset'!H207-$D$10))),1/(1+EXP(-(LN(19)/($D$10-$C$10))*('Panel Dataset'!H207-$D$10))))</f>
        <v>0.42757699166804525</v>
      </c>
      <c r="J222" s="12">
        <f>IF('Panel Dataset'!I207&gt;=$D$11,1/(1+EXP(-(LN(19)/($E$11-$D$11))*('Panel Dataset'!I207-$D$11))),1/(1+EXP(-(LN(19)/($D$11-$C$11))*('Panel Dataset'!I207-$D$11))))</f>
        <v>4.4419865161338702E-2</v>
      </c>
    </row>
    <row r="223" spans="2:10" x14ac:dyDescent="0.3">
      <c r="B223" s="7" t="str">
        <f>'Panel Dataset'!A208</f>
        <v>Skyworks Solutions</v>
      </c>
      <c r="C223" s="7">
        <f>'Panel Dataset'!B208</f>
        <v>2021</v>
      </c>
      <c r="D223" s="12">
        <f>IF('Panel Dataset'!C208&gt;=$D$5,1/(1+EXP(-(LN(19)/($E$5-$D$5))*('Panel Dataset'!C208-$D$5))),1/(1+EXP(-(LN(19)/($D$5-$C$5))*('Panel Dataset'!C208-$D$5))))</f>
        <v>0.70547568302520725</v>
      </c>
      <c r="E223" s="12">
        <f>IF('Panel Dataset'!D208&gt;=$D$6,1/(1+EXP(-(LN(19)/($E$6-$D$6))*('Panel Dataset'!D208-$D$6))),1/(1+EXP(-(LN(19)/($D$6-$C$6))*('Panel Dataset'!D208-$D$6))))</f>
        <v>0.37819749515815487</v>
      </c>
      <c r="F223" s="12">
        <f>IF('Panel Dataset'!E208&gt;=$D$7,1/(1+EXP(-(LN(19)/($E$7-$D$7))*('Panel Dataset'!E208-$D$7))),1/(1+EXP(-(LN(19)/($D$7-$C$7))*('Panel Dataset'!E208-$D$7))))</f>
        <v>0.7728906053019422</v>
      </c>
      <c r="G223" s="12">
        <f>IF('Panel Dataset'!F208&gt;=$D$8,1/(1+EXP(-(LN(19)/($E$8-$D$8))*('Panel Dataset'!F208-$D$8))),1/(1+EXP(-(LN(19)/($D$8-$C$8))*('Panel Dataset'!F208-$D$8))))</f>
        <v>0.74717453859901262</v>
      </c>
      <c r="H223" s="12">
        <f>IF('Panel Dataset'!G208&gt;=$D$9,1/(1+EXP(-(LN(19)/($E$9-$D$9))*('Panel Dataset'!G208-$D$9))),1/(1+EXP(-(LN(19)/($D$9-$C$9))*('Panel Dataset'!G208-$D$9))))</f>
        <v>0.82023787732003361</v>
      </c>
      <c r="I223" s="12">
        <f>IF('Panel Dataset'!H208&gt;=$D$10,1/(1+EXP(-(LN(19)/($E$10-$D$10))*('Panel Dataset'!H208-$D$10))),1/(1+EXP(-(LN(19)/($D$10-$C$10))*('Panel Dataset'!H208-$D$10))))</f>
        <v>0.89782529590301252</v>
      </c>
      <c r="J223" s="12">
        <f>IF('Panel Dataset'!I208&gt;=$D$11,1/(1+EXP(-(LN(19)/($E$11-$D$11))*('Panel Dataset'!I208-$D$11))),1/(1+EXP(-(LN(19)/($D$11-$C$11))*('Panel Dataset'!I208-$D$11))))</f>
        <v>0.43823178449102274</v>
      </c>
    </row>
    <row r="224" spans="2:10" x14ac:dyDescent="0.3">
      <c r="B224" s="7" t="str">
        <f>'Panel Dataset'!A209</f>
        <v>Skyworks Solutions</v>
      </c>
      <c r="C224" s="7">
        <f>'Panel Dataset'!B209</f>
        <v>2022</v>
      </c>
      <c r="D224" s="12">
        <f>IF('Panel Dataset'!C209&gt;=$D$5,1/(1+EXP(-(LN(19)/($E$5-$D$5))*('Panel Dataset'!C209-$D$5))),1/(1+EXP(-(LN(19)/($D$5-$C$5))*('Panel Dataset'!C209-$D$5))))</f>
        <v>0.86629945137147946</v>
      </c>
      <c r="E224" s="12">
        <f>IF('Panel Dataset'!D209&gt;=$D$6,1/(1+EXP(-(LN(19)/($E$6-$D$6))*('Panel Dataset'!D209-$D$6))),1/(1+EXP(-(LN(19)/($D$6-$C$6))*('Panel Dataset'!D209-$D$6))))</f>
        <v>0.51989638303136176</v>
      </c>
      <c r="F224" s="12">
        <f>IF('Panel Dataset'!E209&gt;=$D$7,1/(1+EXP(-(LN(19)/($E$7-$D$7))*('Panel Dataset'!E209-$D$7))),1/(1+EXP(-(LN(19)/($D$7-$C$7))*('Panel Dataset'!E209-$D$7))))</f>
        <v>0.87438549857553827</v>
      </c>
      <c r="G224" s="12">
        <f>IF('Panel Dataset'!F209&gt;=$D$8,1/(1+EXP(-(LN(19)/($E$8-$D$8))*('Panel Dataset'!F209-$D$8))),1/(1+EXP(-(LN(19)/($D$8-$C$8))*('Panel Dataset'!F209-$D$8))))</f>
        <v>0.91941352194773052</v>
      </c>
      <c r="H224" s="12">
        <f>IF('Panel Dataset'!G209&gt;=$D$9,1/(1+EXP(-(LN(19)/($E$9-$D$9))*('Panel Dataset'!G209-$D$9))),1/(1+EXP(-(LN(19)/($D$9-$C$9))*('Panel Dataset'!G209-$D$9))))</f>
        <v>0.6895862784615121</v>
      </c>
      <c r="I224" s="12">
        <f>IF('Panel Dataset'!H209&gt;=$D$10,1/(1+EXP(-(LN(19)/($E$10-$D$10))*('Panel Dataset'!H209-$D$10))),1/(1+EXP(-(LN(19)/($D$10-$C$10))*('Panel Dataset'!H209-$D$10))))</f>
        <v>0.94124065631708542</v>
      </c>
      <c r="J224" s="12">
        <f>IF('Panel Dataset'!I209&gt;=$D$11,1/(1+EXP(-(LN(19)/($E$11-$D$11))*('Panel Dataset'!I209-$D$11))),1/(1+EXP(-(LN(19)/($D$11-$C$11))*('Panel Dataset'!I209-$D$11))))</f>
        <v>0.87530268992162596</v>
      </c>
    </row>
    <row r="225" spans="2:10" x14ac:dyDescent="0.3">
      <c r="B225" s="7" t="str">
        <f>'Panel Dataset'!A210</f>
        <v>Skyworks Solutions</v>
      </c>
      <c r="C225" s="7">
        <f>'Panel Dataset'!B210</f>
        <v>2023</v>
      </c>
      <c r="D225" s="12">
        <f>IF('Panel Dataset'!C210&gt;=$D$5,1/(1+EXP(-(LN(19)/($E$5-$D$5))*('Panel Dataset'!C210-$D$5))),1/(1+EXP(-(LN(19)/($D$5-$C$5))*('Panel Dataset'!C210-$D$5))))</f>
        <v>0.90109849065670444</v>
      </c>
      <c r="E225" s="12">
        <f>IF('Panel Dataset'!D210&gt;=$D$6,1/(1+EXP(-(LN(19)/($E$6-$D$6))*('Panel Dataset'!D210-$D$6))),1/(1+EXP(-(LN(19)/($D$6-$C$6))*('Panel Dataset'!D210-$D$6))))</f>
        <v>0.74414184964474483</v>
      </c>
      <c r="F225" s="12">
        <f>IF('Panel Dataset'!E210&gt;=$D$7,1/(1+EXP(-(LN(19)/($E$7-$D$7))*('Panel Dataset'!E210-$D$7))),1/(1+EXP(-(LN(19)/($D$7-$C$7))*('Panel Dataset'!E210-$D$7))))</f>
        <v>0.93330993346031776</v>
      </c>
      <c r="G225" s="12">
        <f>IF('Panel Dataset'!F210&gt;=$D$8,1/(1+EXP(-(LN(19)/($E$8-$D$8))*('Panel Dataset'!F210-$D$8))),1/(1+EXP(-(LN(19)/($D$8-$C$8))*('Panel Dataset'!F210-$D$8))))</f>
        <v>0.9288060730852935</v>
      </c>
      <c r="H225" s="12">
        <f>IF('Panel Dataset'!G210&gt;=$D$9,1/(1+EXP(-(LN(19)/($E$9-$D$9))*('Panel Dataset'!G210-$D$9))),1/(1+EXP(-(LN(19)/($D$9-$C$9))*('Panel Dataset'!G210-$D$9))))</f>
        <v>0.79239796276436802</v>
      </c>
      <c r="I225" s="12">
        <f>IF('Panel Dataset'!H210&gt;=$D$10,1/(1+EXP(-(LN(19)/($E$10-$D$10))*('Panel Dataset'!H210-$D$10))),1/(1+EXP(-(LN(19)/($D$10-$C$10))*('Panel Dataset'!H210-$D$10))))</f>
        <v>0.93982667135189557</v>
      </c>
      <c r="J225" s="12">
        <f>IF('Panel Dataset'!I210&gt;=$D$11,1/(1+EXP(-(LN(19)/($E$11-$D$11))*('Panel Dataset'!I210-$D$11))),1/(1+EXP(-(LN(19)/($D$11-$C$11))*('Panel Dataset'!I210-$D$11))))</f>
        <v>0.91597417148269411</v>
      </c>
    </row>
    <row r="226" spans="2:10" x14ac:dyDescent="0.3">
      <c r="B226" s="7" t="str">
        <f>'Panel Dataset'!A211</f>
        <v>Skyworks Solutions</v>
      </c>
      <c r="C226" s="7">
        <f>'Panel Dataset'!B211</f>
        <v>2024</v>
      </c>
      <c r="D226" s="12">
        <f>IF('Panel Dataset'!C211&gt;=$D$5,1/(1+EXP(-(LN(19)/($E$5-$D$5))*('Panel Dataset'!C211-$D$5))),1/(1+EXP(-(LN(19)/($D$5-$C$5))*('Panel Dataset'!C211-$D$5))))</f>
        <v>0.90913621979353454</v>
      </c>
      <c r="E226" s="12">
        <f>IF('Panel Dataset'!D211&gt;=$D$6,1/(1+EXP(-(LN(19)/($E$6-$D$6))*('Panel Dataset'!D211-$D$6))),1/(1+EXP(-(LN(19)/($D$6-$C$6))*('Panel Dataset'!D211-$D$6))))</f>
        <v>0.80989075473464334</v>
      </c>
      <c r="F226" s="12">
        <f>IF('Panel Dataset'!E211&gt;=$D$7,1/(1+EXP(-(LN(19)/($E$7-$D$7))*('Panel Dataset'!E211-$D$7))),1/(1+EXP(-(LN(19)/($D$7-$C$7))*('Panel Dataset'!E211-$D$7))))</f>
        <v>0.97012958868943988</v>
      </c>
      <c r="G226" s="12">
        <f>IF('Panel Dataset'!F211&gt;=$D$8,1/(1+EXP(-(LN(19)/($E$8-$D$8))*('Panel Dataset'!F211-$D$8))),1/(1+EXP(-(LN(19)/($D$8-$C$8))*('Panel Dataset'!F211-$D$8))))</f>
        <v>0.9264727854929774</v>
      </c>
      <c r="H226" s="12">
        <f>IF('Panel Dataset'!G211&gt;=$D$9,1/(1+EXP(-(LN(19)/($E$9-$D$9))*('Panel Dataset'!G211-$D$9))),1/(1+EXP(-(LN(19)/($D$9-$C$9))*('Panel Dataset'!G211-$D$9))))</f>
        <v>0.92558069750849692</v>
      </c>
      <c r="I226" s="12">
        <f>IF('Panel Dataset'!H211&gt;=$D$10,1/(1+EXP(-(LN(19)/($E$10-$D$10))*('Panel Dataset'!H211-$D$10))),1/(1+EXP(-(LN(19)/($D$10-$C$10))*('Panel Dataset'!H211-$D$10))))</f>
        <v>0.94716279526723568</v>
      </c>
      <c r="J226" s="12">
        <f>IF('Panel Dataset'!I211&gt;=$D$11,1/(1+EXP(-(LN(19)/($E$11-$D$11))*('Panel Dataset'!I211-$D$11))),1/(1+EXP(-(LN(19)/($D$11-$C$11))*('Panel Dataset'!I211-$D$11))))</f>
        <v>0.94584409940305492</v>
      </c>
    </row>
    <row r="227" spans="2:10" x14ac:dyDescent="0.3">
      <c r="B227" s="7" t="str">
        <f>'Panel Dataset'!A212</f>
        <v>Taiwan Semiconductor Mfg</v>
      </c>
      <c r="C227" s="7">
        <f>'Panel Dataset'!B212</f>
        <v>2015</v>
      </c>
      <c r="D227" s="12">
        <f>IF('Panel Dataset'!C212&gt;=$D$5,1/(1+EXP(-(LN(19)/($E$5-$D$5))*('Panel Dataset'!C212-$D$5))),1/(1+EXP(-(LN(19)/($D$5-$C$5))*('Panel Dataset'!C212-$D$5))))</f>
        <v>2.478148576062731E-2</v>
      </c>
      <c r="E227" s="12">
        <f>IF('Panel Dataset'!D212&gt;=$D$6,1/(1+EXP(-(LN(19)/($E$6-$D$6))*('Panel Dataset'!D212-$D$6))),1/(1+EXP(-(LN(19)/($D$6-$C$6))*('Panel Dataset'!D212-$D$6))))</f>
        <v>9.4838774832403328E-2</v>
      </c>
      <c r="F227" s="12">
        <f>IF('Panel Dataset'!E212&gt;=$D$7,1/(1+EXP(-(LN(19)/($E$7-$D$7))*('Panel Dataset'!E212-$D$7))),1/(1+EXP(-(LN(19)/($D$7-$C$7))*('Panel Dataset'!E212-$D$7))))</f>
        <v>1.1649621362455157E-2</v>
      </c>
      <c r="G227" s="12">
        <f>IF('Panel Dataset'!F212&gt;=$D$8,1/(1+EXP(-(LN(19)/($E$8-$D$8))*('Panel Dataset'!F212-$D$8))),1/(1+EXP(-(LN(19)/($D$8-$C$8))*('Panel Dataset'!F212-$D$8))))</f>
        <v>6.1200869164726057E-2</v>
      </c>
      <c r="H227" s="12">
        <f>IF('Panel Dataset'!G212&gt;=$D$9,1/(1+EXP(-(LN(19)/($E$9-$D$9))*('Panel Dataset'!G212-$D$9))),1/(1+EXP(-(LN(19)/($D$9-$C$9))*('Panel Dataset'!G212-$D$9))))</f>
        <v>2.366361238868752E-2</v>
      </c>
      <c r="I227" s="12">
        <f>IF('Panel Dataset'!H212&gt;=$D$10,1/(1+EXP(-(LN(19)/($E$10-$D$10))*('Panel Dataset'!H212-$D$10))),1/(1+EXP(-(LN(19)/($D$10-$C$10))*('Panel Dataset'!H212-$D$10))))</f>
        <v>6.2090344532554333E-2</v>
      </c>
      <c r="J227" s="12">
        <f>IF('Panel Dataset'!I212&gt;=$D$11,1/(1+EXP(-(LN(19)/($E$11-$D$11))*('Panel Dataset'!I212-$D$11))),1/(1+EXP(-(LN(19)/($D$11-$C$11))*('Panel Dataset'!I212-$D$11))))</f>
        <v>0.16207018037757351</v>
      </c>
    </row>
    <row r="228" spans="2:10" x14ac:dyDescent="0.3">
      <c r="B228" s="7" t="str">
        <f>'Panel Dataset'!A213</f>
        <v>Taiwan Semiconductor Mfg</v>
      </c>
      <c r="C228" s="7">
        <f>'Panel Dataset'!B213</f>
        <v>2016</v>
      </c>
      <c r="D228" s="12">
        <f>IF('Panel Dataset'!C213&gt;=$D$5,1/(1+EXP(-(LN(19)/($E$5-$D$5))*('Panel Dataset'!C213-$D$5))),1/(1+EXP(-(LN(19)/($D$5-$C$5))*('Panel Dataset'!C213-$D$5))))</f>
        <v>2.8018867510805574E-2</v>
      </c>
      <c r="E228" s="12">
        <f>IF('Panel Dataset'!D213&gt;=$D$6,1/(1+EXP(-(LN(19)/($E$6-$D$6))*('Panel Dataset'!D213-$D$6))),1/(1+EXP(-(LN(19)/($D$6-$C$6))*('Panel Dataset'!D213-$D$6))))</f>
        <v>0.19910274307386086</v>
      </c>
      <c r="F228" s="12">
        <f>IF('Panel Dataset'!E213&gt;=$D$7,1/(1+EXP(-(LN(19)/($E$7-$D$7))*('Panel Dataset'!E213-$D$7))),1/(1+EXP(-(LN(19)/($D$7-$C$7))*('Panel Dataset'!E213-$D$7))))</f>
        <v>2.5556430255742706E-2</v>
      </c>
      <c r="G228" s="12">
        <f>IF('Panel Dataset'!F213&gt;=$D$8,1/(1+EXP(-(LN(19)/($E$8-$D$8))*('Panel Dataset'!F213-$D$8))),1/(1+EXP(-(LN(19)/($D$8-$C$8))*('Panel Dataset'!F213-$D$8))))</f>
        <v>5.1396004042306112E-2</v>
      </c>
      <c r="H228" s="12">
        <f>IF('Panel Dataset'!G213&gt;=$D$9,1/(1+EXP(-(LN(19)/($E$9-$D$9))*('Panel Dataset'!G213-$D$9))),1/(1+EXP(-(LN(19)/($D$9-$C$9))*('Panel Dataset'!G213-$D$9))))</f>
        <v>3.9255946241796895E-2</v>
      </c>
      <c r="I228" s="12">
        <f>IF('Panel Dataset'!H213&gt;=$D$10,1/(1+EXP(-(LN(19)/($E$10-$D$10))*('Panel Dataset'!H213-$D$10))),1/(1+EXP(-(LN(19)/($D$10-$C$10))*('Panel Dataset'!H213-$D$10))))</f>
        <v>5.3054238567344737E-2</v>
      </c>
      <c r="J228" s="12">
        <f>IF('Panel Dataset'!I213&gt;=$D$11,1/(1+EXP(-(LN(19)/($E$11-$D$11))*('Panel Dataset'!I213-$D$11))),1/(1+EXP(-(LN(19)/($D$11-$C$11))*('Panel Dataset'!I213-$D$11))))</f>
        <v>0.12448317829455899</v>
      </c>
    </row>
    <row r="229" spans="2:10" x14ac:dyDescent="0.3">
      <c r="B229" s="7" t="str">
        <f>'Panel Dataset'!A214</f>
        <v>Taiwan Semiconductor Mfg</v>
      </c>
      <c r="C229" s="7">
        <f>'Panel Dataset'!B214</f>
        <v>2017</v>
      </c>
      <c r="D229" s="12">
        <f>IF('Panel Dataset'!C214&gt;=$D$5,1/(1+EXP(-(LN(19)/($E$5-$D$5))*('Panel Dataset'!C214-$D$5))),1/(1+EXP(-(LN(19)/($D$5-$C$5))*('Panel Dataset'!C214-$D$5))))</f>
        <v>3.6333194490985446E-2</v>
      </c>
      <c r="E229" s="12">
        <f>IF('Panel Dataset'!D214&gt;=$D$6,1/(1+EXP(-(LN(19)/($E$6-$D$6))*('Panel Dataset'!D214-$D$6))),1/(1+EXP(-(LN(19)/($D$6-$C$6))*('Panel Dataset'!D214-$D$6))))</f>
        <v>0.21792967058205764</v>
      </c>
      <c r="F229" s="12">
        <f>IF('Panel Dataset'!E214&gt;=$D$7,1/(1+EXP(-(LN(19)/($E$7-$D$7))*('Panel Dataset'!E214-$D$7))),1/(1+EXP(-(LN(19)/($D$7-$C$7))*('Panel Dataset'!E214-$D$7))))</f>
        <v>7.5414002303842931E-2</v>
      </c>
      <c r="G229" s="12">
        <f>IF('Panel Dataset'!F214&gt;=$D$8,1/(1+EXP(-(LN(19)/($E$8-$D$8))*('Panel Dataset'!F214-$D$8))),1/(1+EXP(-(LN(19)/($D$8-$C$8))*('Panel Dataset'!F214-$D$8))))</f>
        <v>6.5243787270629391E-2</v>
      </c>
      <c r="H229" s="12">
        <f>IF('Panel Dataset'!G214&gt;=$D$9,1/(1+EXP(-(LN(19)/($E$9-$D$9))*('Panel Dataset'!G214-$D$9))),1/(1+EXP(-(LN(19)/($D$9-$C$9))*('Panel Dataset'!G214-$D$9))))</f>
        <v>3.298939143064715E-2</v>
      </c>
      <c r="I229" s="12">
        <f>IF('Panel Dataset'!H214&gt;=$D$10,1/(1+EXP(-(LN(19)/($E$10-$D$10))*('Panel Dataset'!H214-$D$10))),1/(1+EXP(-(LN(19)/($D$10-$C$10))*('Panel Dataset'!H214-$D$10))))</f>
        <v>8.6386112285879238E-2</v>
      </c>
      <c r="J229" s="12">
        <f>IF('Panel Dataset'!I214&gt;=$D$11,1/(1+EXP(-(LN(19)/($E$11-$D$11))*('Panel Dataset'!I214-$D$11))),1/(1+EXP(-(LN(19)/($D$11-$C$11))*('Panel Dataset'!I214-$D$11))))</f>
        <v>0.56607508744220303</v>
      </c>
    </row>
    <row r="230" spans="2:10" x14ac:dyDescent="0.3">
      <c r="B230" s="7" t="str">
        <f>'Panel Dataset'!A215</f>
        <v>Taiwan Semiconductor Mfg</v>
      </c>
      <c r="C230" s="7">
        <f>'Panel Dataset'!B215</f>
        <v>2018</v>
      </c>
      <c r="D230" s="12">
        <f>IF('Panel Dataset'!C215&gt;=$D$5,1/(1+EXP(-(LN(19)/($E$5-$D$5))*('Panel Dataset'!C215-$D$5))),1/(1+EXP(-(LN(19)/($D$5-$C$5))*('Panel Dataset'!C215-$D$5))))</f>
        <v>4.5725872812413075E-2</v>
      </c>
      <c r="E230" s="12">
        <f>IF('Panel Dataset'!D215&gt;=$D$6,1/(1+EXP(-(LN(19)/($E$6-$D$6))*('Panel Dataset'!D215-$D$6))),1/(1+EXP(-(LN(19)/($D$6-$C$6))*('Panel Dataset'!D215-$D$6))))</f>
        <v>0.36615381203802377</v>
      </c>
      <c r="F230" s="12">
        <f>IF('Panel Dataset'!E215&gt;=$D$7,1/(1+EXP(-(LN(19)/($E$7-$D$7))*('Panel Dataset'!E215-$D$7))),1/(1+EXP(-(LN(19)/($D$7-$C$7))*('Panel Dataset'!E215-$D$7))))</f>
        <v>0.11609655729906693</v>
      </c>
      <c r="G230" s="12">
        <f>IF('Panel Dataset'!F215&gt;=$D$8,1/(1+EXP(-(LN(19)/($E$8-$D$8))*('Panel Dataset'!F215-$D$8))),1/(1+EXP(-(LN(19)/($D$8-$C$8))*('Panel Dataset'!F215-$D$8))))</f>
        <v>0.10625959349202466</v>
      </c>
      <c r="H230" s="12">
        <f>IF('Panel Dataset'!G215&gt;=$D$9,1/(1+EXP(-(LN(19)/($E$9-$D$9))*('Panel Dataset'!G215-$D$9))),1/(1+EXP(-(LN(19)/($D$9-$C$9))*('Panel Dataset'!G215-$D$9))))</f>
        <v>6.297156320725493E-2</v>
      </c>
      <c r="I230" s="12">
        <f>IF('Panel Dataset'!H215&gt;=$D$10,1/(1+EXP(-(LN(19)/($E$10-$D$10))*('Panel Dataset'!H215-$D$10))),1/(1+EXP(-(LN(19)/($D$10-$C$10))*('Panel Dataset'!H215-$D$10))))</f>
        <v>8.7087055402025465E-2</v>
      </c>
      <c r="J230" s="12">
        <f>IF('Panel Dataset'!I215&gt;=$D$11,1/(1+EXP(-(LN(19)/($E$11-$D$11))*('Panel Dataset'!I215-$D$11))),1/(1+EXP(-(LN(19)/($D$11-$C$11))*('Panel Dataset'!I215-$D$11))))</f>
        <v>0.23237826521883156</v>
      </c>
    </row>
    <row r="231" spans="2:10" x14ac:dyDescent="0.3">
      <c r="B231" s="7" t="str">
        <f>'Panel Dataset'!A216</f>
        <v>Taiwan Semiconductor Mfg</v>
      </c>
      <c r="C231" s="7">
        <f>'Panel Dataset'!B216</f>
        <v>2019</v>
      </c>
      <c r="D231" s="12">
        <f>IF('Panel Dataset'!C216&gt;=$D$5,1/(1+EXP(-(LN(19)/($E$5-$D$5))*('Panel Dataset'!C216-$D$5))),1/(1+EXP(-(LN(19)/($D$5-$C$5))*('Panel Dataset'!C216-$D$5))))</f>
        <v>0.10795123408467334</v>
      </c>
      <c r="E231" s="12">
        <f>IF('Panel Dataset'!D216&gt;=$D$6,1/(1+EXP(-(LN(19)/($E$6-$D$6))*('Panel Dataset'!D216-$D$6))),1/(1+EXP(-(LN(19)/($D$6-$C$6))*('Panel Dataset'!D216-$D$6))))</f>
        <v>0.60690449947683878</v>
      </c>
      <c r="F231" s="12">
        <f>IF('Panel Dataset'!E216&gt;=$D$7,1/(1+EXP(-(LN(19)/($E$7-$D$7))*('Panel Dataset'!E216-$D$7))),1/(1+EXP(-(LN(19)/($D$7-$C$7))*('Panel Dataset'!E216-$D$7))))</f>
        <v>0.18501939839016274</v>
      </c>
      <c r="G231" s="12">
        <f>IF('Panel Dataset'!F216&gt;=$D$8,1/(1+EXP(-(LN(19)/($E$8-$D$8))*('Panel Dataset'!F216-$D$8))),1/(1+EXP(-(LN(19)/($D$8-$C$8))*('Panel Dataset'!F216-$D$8))))</f>
        <v>0.13411200508189933</v>
      </c>
      <c r="H231" s="12">
        <f>IF('Panel Dataset'!G216&gt;=$D$9,1/(1+EXP(-(LN(19)/($E$9-$D$9))*('Panel Dataset'!G216-$D$9))),1/(1+EXP(-(LN(19)/($D$9-$C$9))*('Panel Dataset'!G216-$D$9))))</f>
        <v>0.10528973292853779</v>
      </c>
      <c r="I231" s="12">
        <f>IF('Panel Dataset'!H216&gt;=$D$10,1/(1+EXP(-(LN(19)/($E$10-$D$10))*('Panel Dataset'!H216-$D$10))),1/(1+EXP(-(LN(19)/($D$10-$C$10))*('Panel Dataset'!H216-$D$10))))</f>
        <v>0.15266119198056399</v>
      </c>
      <c r="J231" s="12">
        <f>IF('Panel Dataset'!I216&gt;=$D$11,1/(1+EXP(-(LN(19)/($E$11-$D$11))*('Panel Dataset'!I216-$D$11))),1/(1+EXP(-(LN(19)/($D$11-$C$11))*('Panel Dataset'!I216-$D$11))))</f>
        <v>0.26738123102002948</v>
      </c>
    </row>
    <row r="232" spans="2:10" x14ac:dyDescent="0.3">
      <c r="B232" s="7" t="str">
        <f>'Panel Dataset'!A217</f>
        <v>Taiwan Semiconductor Mfg</v>
      </c>
      <c r="C232" s="7">
        <f>'Panel Dataset'!B217</f>
        <v>2020</v>
      </c>
      <c r="D232" s="12">
        <f>IF('Panel Dataset'!C217&gt;=$D$5,1/(1+EXP(-(LN(19)/($E$5-$D$5))*('Panel Dataset'!C217-$D$5))),1/(1+EXP(-(LN(19)/($D$5-$C$5))*('Panel Dataset'!C217-$D$5))))</f>
        <v>0.18617382523495057</v>
      </c>
      <c r="E232" s="12">
        <f>IF('Panel Dataset'!D217&gt;=$D$6,1/(1+EXP(-(LN(19)/($E$6-$D$6))*('Panel Dataset'!D217-$D$6))),1/(1+EXP(-(LN(19)/($D$6-$C$6))*('Panel Dataset'!D217-$D$6))))</f>
        <v>0.54524934181692586</v>
      </c>
      <c r="F232" s="12">
        <f>IF('Panel Dataset'!E217&gt;=$D$7,1/(1+EXP(-(LN(19)/($E$7-$D$7))*('Panel Dataset'!E217-$D$7))),1/(1+EXP(-(LN(19)/($D$7-$C$7))*('Panel Dataset'!E217-$D$7))))</f>
        <v>0.29835983881391032</v>
      </c>
      <c r="G232" s="12">
        <f>IF('Panel Dataset'!F217&gt;=$D$8,1/(1+EXP(-(LN(19)/($E$8-$D$8))*('Panel Dataset'!F217-$D$8))),1/(1+EXP(-(LN(19)/($D$8-$C$8))*('Panel Dataset'!F217-$D$8))))</f>
        <v>0.30372371176133489</v>
      </c>
      <c r="H232" s="12">
        <f>IF('Panel Dataset'!G217&gt;=$D$9,1/(1+EXP(-(LN(19)/($E$9-$D$9))*('Panel Dataset'!G217-$D$9))),1/(1+EXP(-(LN(19)/($D$9-$C$9))*('Panel Dataset'!G217-$D$9))))</f>
        <v>0.24566923502114543</v>
      </c>
      <c r="I232" s="12">
        <f>IF('Panel Dataset'!H217&gt;=$D$10,1/(1+EXP(-(LN(19)/($E$10-$D$10))*('Panel Dataset'!H217-$D$10))),1/(1+EXP(-(LN(19)/($D$10-$C$10))*('Panel Dataset'!H217-$D$10))))</f>
        <v>0.33208039561834607</v>
      </c>
      <c r="J232" s="12">
        <f>IF('Panel Dataset'!I217&gt;=$D$11,1/(1+EXP(-(LN(19)/($E$11-$D$11))*('Panel Dataset'!I217-$D$11))),1/(1+EXP(-(LN(19)/($D$11-$C$11))*('Panel Dataset'!I217-$D$11))))</f>
        <v>3.5490399140134396E-2</v>
      </c>
    </row>
    <row r="233" spans="2:10" x14ac:dyDescent="0.3">
      <c r="B233" s="7" t="str">
        <f>'Panel Dataset'!A218</f>
        <v>Taiwan Semiconductor Mfg</v>
      </c>
      <c r="C233" s="7">
        <f>'Panel Dataset'!B218</f>
        <v>2021</v>
      </c>
      <c r="D233" s="12">
        <f>IF('Panel Dataset'!C218&gt;=$D$5,1/(1+EXP(-(LN(19)/($E$5-$D$5))*('Panel Dataset'!C218-$D$5))),1/(1+EXP(-(LN(19)/($D$5-$C$5))*('Panel Dataset'!C218-$D$5))))</f>
        <v>0.43194175674971119</v>
      </c>
      <c r="E233" s="12">
        <f>IF('Panel Dataset'!D218&gt;=$D$6,1/(1+EXP(-(LN(19)/($E$6-$D$6))*('Panel Dataset'!D218-$D$6))),1/(1+EXP(-(LN(19)/($D$6-$C$6))*('Panel Dataset'!D218-$D$6))))</f>
        <v>0.88688108569683233</v>
      </c>
      <c r="F233" s="12">
        <f>IF('Panel Dataset'!E218&gt;=$D$7,1/(1+EXP(-(LN(19)/($E$7-$D$7))*('Panel Dataset'!E218-$D$7))),1/(1+EXP(-(LN(19)/($D$7-$C$7))*('Panel Dataset'!E218-$D$7))))</f>
        <v>0.39587078201238146</v>
      </c>
      <c r="G233" s="12">
        <f>IF('Panel Dataset'!F218&gt;=$D$8,1/(1+EXP(-(LN(19)/($E$8-$D$8))*('Panel Dataset'!F218-$D$8))),1/(1+EXP(-(LN(19)/($D$8-$C$8))*('Panel Dataset'!F218-$D$8))))</f>
        <v>0.44276207123585054</v>
      </c>
      <c r="H233" s="12">
        <f>IF('Panel Dataset'!G218&gt;=$D$9,1/(1+EXP(-(LN(19)/($E$9-$D$9))*('Panel Dataset'!G218-$D$9))),1/(1+EXP(-(LN(19)/($D$9-$C$9))*('Panel Dataset'!G218-$D$9))))</f>
        <v>0.50156108815551581</v>
      </c>
      <c r="I233" s="12">
        <f>IF('Panel Dataset'!H218&gt;=$D$10,1/(1+EXP(-(LN(19)/($E$10-$D$10))*('Panel Dataset'!H218-$D$10))),1/(1+EXP(-(LN(19)/($D$10-$C$10))*('Panel Dataset'!H218-$D$10))))</f>
        <v>0.72483724903202662</v>
      </c>
      <c r="J233" s="12">
        <f>IF('Panel Dataset'!I218&gt;=$D$11,1/(1+EXP(-(LN(19)/($E$11-$D$11))*('Panel Dataset'!I218-$D$11))),1/(1+EXP(-(LN(19)/($D$11-$C$11))*('Panel Dataset'!I218-$D$11))))</f>
        <v>0.51387195661775176</v>
      </c>
    </row>
    <row r="234" spans="2:10" x14ac:dyDescent="0.3">
      <c r="B234" s="7" t="str">
        <f>'Panel Dataset'!A219</f>
        <v>Taiwan Semiconductor Mfg</v>
      </c>
      <c r="C234" s="7">
        <f>'Panel Dataset'!B219</f>
        <v>2022</v>
      </c>
      <c r="D234" s="12">
        <f>IF('Panel Dataset'!C219&gt;=$D$5,1/(1+EXP(-(LN(19)/($E$5-$D$5))*('Panel Dataset'!C219-$D$5))),1/(1+EXP(-(LN(19)/($D$5-$C$5))*('Panel Dataset'!C219-$D$5))))</f>
        <v>0.53229441939442745</v>
      </c>
      <c r="E234" s="12">
        <f>IF('Panel Dataset'!D219&gt;=$D$6,1/(1+EXP(-(LN(19)/($E$6-$D$6))*('Panel Dataset'!D219-$D$6))),1/(1+EXP(-(LN(19)/($D$6-$C$6))*('Panel Dataset'!D219-$D$6))))</f>
        <v>0.88414386483395702</v>
      </c>
      <c r="F234" s="12">
        <f>IF('Panel Dataset'!E219&gt;=$D$7,1/(1+EXP(-(LN(19)/($E$7-$D$7))*('Panel Dataset'!E219-$D$7))),1/(1+EXP(-(LN(19)/($D$7-$C$7))*('Panel Dataset'!E219-$D$7))))</f>
        <v>0.49621161278667397</v>
      </c>
      <c r="G234" s="12">
        <f>IF('Panel Dataset'!F219&gt;=$D$8,1/(1+EXP(-(LN(19)/($E$8-$D$8))*('Panel Dataset'!F219-$D$8))),1/(1+EXP(-(LN(19)/($D$8-$C$8))*('Panel Dataset'!F219-$D$8))))</f>
        <v>0.62189236933046765</v>
      </c>
      <c r="H234" s="12">
        <f>IF('Panel Dataset'!G219&gt;=$D$9,1/(1+EXP(-(LN(19)/($E$9-$D$9))*('Panel Dataset'!G219-$D$9))),1/(1+EXP(-(LN(19)/($D$9-$C$9))*('Panel Dataset'!G219-$D$9))))</f>
        <v>0.41318989602246547</v>
      </c>
      <c r="I234" s="12">
        <f>IF('Panel Dataset'!H219&gt;=$D$10,1/(1+EXP(-(LN(19)/($E$10-$D$10))*('Panel Dataset'!H219-$D$10))),1/(1+EXP(-(LN(19)/($D$10-$C$10))*('Panel Dataset'!H219-$D$10))))</f>
        <v>0.83699539236145692</v>
      </c>
      <c r="J234" s="12">
        <f>IF('Panel Dataset'!I219&gt;=$D$11,1/(1+EXP(-(LN(19)/($E$11-$D$11))*('Panel Dataset'!I219-$D$11))),1/(1+EXP(-(LN(19)/($D$11-$C$11))*('Panel Dataset'!I219-$D$11))))</f>
        <v>0.87530268992162596</v>
      </c>
    </row>
    <row r="235" spans="2:10" x14ac:dyDescent="0.3">
      <c r="B235" s="7" t="str">
        <f>'Panel Dataset'!A220</f>
        <v>Taiwan Semiconductor Mfg</v>
      </c>
      <c r="C235" s="7">
        <f>'Panel Dataset'!B220</f>
        <v>2023</v>
      </c>
      <c r="D235" s="12">
        <f>IF('Panel Dataset'!C220&gt;=$D$5,1/(1+EXP(-(LN(19)/($E$5-$D$5))*('Panel Dataset'!C220-$D$5))),1/(1+EXP(-(LN(19)/($D$5-$C$5))*('Panel Dataset'!C220-$D$5))))</f>
        <v>0.66456996187768669</v>
      </c>
      <c r="E235" s="12">
        <f>IF('Panel Dataset'!D220&gt;=$D$6,1/(1+EXP(-(LN(19)/($E$6-$D$6))*('Panel Dataset'!D220-$D$6))),1/(1+EXP(-(LN(19)/($D$6-$C$6))*('Panel Dataset'!D220-$D$6))))</f>
        <v>0.94593204669437037</v>
      </c>
      <c r="F235" s="12">
        <f>IF('Panel Dataset'!E220&gt;=$D$7,1/(1+EXP(-(LN(19)/($E$7-$D$7))*('Panel Dataset'!E220-$D$7))),1/(1+EXP(-(LN(19)/($D$7-$C$7))*('Panel Dataset'!E220-$D$7))))</f>
        <v>0.64412098617661606</v>
      </c>
      <c r="G235" s="12">
        <f>IF('Panel Dataset'!F220&gt;=$D$8,1/(1+EXP(-(LN(19)/($E$8-$D$8))*('Panel Dataset'!F220-$D$8))),1/(1+EXP(-(LN(19)/($D$8-$C$8))*('Panel Dataset'!F220-$D$8))))</f>
        <v>0.71015263829612263</v>
      </c>
      <c r="H235" s="12">
        <f>IF('Panel Dataset'!G220&gt;=$D$9,1/(1+EXP(-(LN(19)/($E$9-$D$9))*('Panel Dataset'!G220-$D$9))),1/(1+EXP(-(LN(19)/($D$9-$C$9))*('Panel Dataset'!G220-$D$9))))</f>
        <v>0.59213017352129826</v>
      </c>
      <c r="I235" s="12">
        <f>IF('Panel Dataset'!H220&gt;=$D$10,1/(1+EXP(-(LN(19)/($E$10-$D$10))*('Panel Dataset'!H220-$D$10))),1/(1+EXP(-(LN(19)/($D$10-$C$10))*('Panel Dataset'!H220-$D$10))))</f>
        <v>0.82161469852333169</v>
      </c>
      <c r="J235" s="12">
        <f>IF('Panel Dataset'!I220&gt;=$D$11,1/(1+EXP(-(LN(19)/($E$11-$D$11))*('Panel Dataset'!I220-$D$11))),1/(1+EXP(-(LN(19)/($D$11-$C$11))*('Panel Dataset'!I220-$D$11))))</f>
        <v>0.90946005379209061</v>
      </c>
    </row>
    <row r="236" spans="2:10" x14ac:dyDescent="0.3">
      <c r="B236" s="7" t="str">
        <f>'Panel Dataset'!A221</f>
        <v>Taiwan Semiconductor Mfg</v>
      </c>
      <c r="C236" s="7">
        <f>'Panel Dataset'!B221</f>
        <v>2024</v>
      </c>
      <c r="D236" s="12">
        <f>IF('Panel Dataset'!C221&gt;=$D$5,1/(1+EXP(-(LN(19)/($E$5-$D$5))*('Panel Dataset'!C221-$D$5))),1/(1+EXP(-(LN(19)/($D$5-$C$5))*('Panel Dataset'!C221-$D$5))))</f>
        <v>0.68592056623125097</v>
      </c>
      <c r="E236" s="12">
        <f>IF('Panel Dataset'!D221&gt;=$D$6,1/(1+EXP(-(LN(19)/($E$6-$D$6))*('Panel Dataset'!D221-$D$6))),1/(1+EXP(-(LN(19)/($D$6-$C$6))*('Panel Dataset'!D221-$D$6))))</f>
        <v>0.98813040206479785</v>
      </c>
      <c r="F236" s="12">
        <f>IF('Panel Dataset'!E221&gt;=$D$7,1/(1+EXP(-(LN(19)/($E$7-$D$7))*('Panel Dataset'!E221-$D$7))),1/(1+EXP(-(LN(19)/($D$7-$C$7))*('Panel Dataset'!E221-$D$7))))</f>
        <v>0.78828752298894078</v>
      </c>
      <c r="G236" s="12">
        <f>IF('Panel Dataset'!F221&gt;=$D$8,1/(1+EXP(-(LN(19)/($E$8-$D$8))*('Panel Dataset'!F221-$D$8))),1/(1+EXP(-(LN(19)/($D$8-$C$8))*('Panel Dataset'!F221-$D$8))))</f>
        <v>0.79177102959956636</v>
      </c>
      <c r="H236" s="12">
        <f>IF('Panel Dataset'!G221&gt;=$D$9,1/(1+EXP(-(LN(19)/($E$9-$D$9))*('Panel Dataset'!G221-$D$9))),1/(1+EXP(-(LN(19)/($D$9-$C$9))*('Panel Dataset'!G221-$D$9))))</f>
        <v>0.62380219489197042</v>
      </c>
      <c r="I236" s="12">
        <f>IF('Panel Dataset'!H221&gt;=$D$10,1/(1+EXP(-(LN(19)/($E$10-$D$10))*('Panel Dataset'!H221-$D$10))),1/(1+EXP(-(LN(19)/($D$10-$C$10))*('Panel Dataset'!H221-$D$10))))</f>
        <v>0.8607898613739382</v>
      </c>
      <c r="J236" s="12">
        <f>IF('Panel Dataset'!I221&gt;=$D$11,1/(1+EXP(-(LN(19)/($E$11-$D$11))*('Panel Dataset'!I221-$D$11))),1/(1+EXP(-(LN(19)/($D$11-$C$11))*('Panel Dataset'!I221-$D$11))))</f>
        <v>0.91105111068012645</v>
      </c>
    </row>
    <row r="237" spans="2:10" x14ac:dyDescent="0.3">
      <c r="B237" s="7" t="str">
        <f>'Panel Dataset'!A222</f>
        <v>Teradyne Inc.</v>
      </c>
      <c r="C237" s="7">
        <f>'Panel Dataset'!B222</f>
        <v>2015</v>
      </c>
      <c r="D237" s="12">
        <f>IF('Panel Dataset'!C222&gt;=$D$5,1/(1+EXP(-(LN(19)/($E$5-$D$5))*('Panel Dataset'!C222-$D$5))),1/(1+EXP(-(LN(19)/($D$5-$C$5))*('Panel Dataset'!C222-$D$5))))</f>
        <v>0.35667532104225869</v>
      </c>
      <c r="E237" s="12">
        <f>IF('Panel Dataset'!D222&gt;=$D$6,1/(1+EXP(-(LN(19)/($E$6-$D$6))*('Panel Dataset'!D222-$D$6))),1/(1+EXP(-(LN(19)/($D$6-$C$6))*('Panel Dataset'!D222-$D$6))))</f>
        <v>7.6972305390704335E-2</v>
      </c>
      <c r="F237" s="12">
        <f>IF('Panel Dataset'!E222&gt;=$D$7,1/(1+EXP(-(LN(19)/($E$7-$D$7))*('Panel Dataset'!E222-$D$7))),1/(1+EXP(-(LN(19)/($D$7-$C$7))*('Panel Dataset'!E222-$D$7))))</f>
        <v>0.39130407515566368</v>
      </c>
      <c r="G237" s="12">
        <f>IF('Panel Dataset'!F222&gt;=$D$8,1/(1+EXP(-(LN(19)/($E$8-$D$8))*('Panel Dataset'!F222-$D$8))),1/(1+EXP(-(LN(19)/($D$8-$C$8))*('Panel Dataset'!F222-$D$8))))</f>
        <v>0.25131804594208246</v>
      </c>
      <c r="H237" s="12">
        <f>IF('Panel Dataset'!G222&gt;=$D$9,1/(1+EXP(-(LN(19)/($E$9-$D$9))*('Panel Dataset'!G222-$D$9))),1/(1+EXP(-(LN(19)/($D$9-$C$9))*('Panel Dataset'!G222-$D$9))))</f>
        <v>0.60399906375485035</v>
      </c>
      <c r="I237" s="12">
        <f>IF('Panel Dataset'!H222&gt;=$D$10,1/(1+EXP(-(LN(19)/($E$10-$D$10))*('Panel Dataset'!H222-$D$10))),1/(1+EXP(-(LN(19)/($D$10-$C$10))*('Panel Dataset'!H222-$D$10))))</f>
        <v>0.3882164649538824</v>
      </c>
      <c r="J237" s="12">
        <f>IF('Panel Dataset'!I222&gt;=$D$11,1/(1+EXP(-(LN(19)/($E$11-$D$11))*('Panel Dataset'!I222-$D$11))),1/(1+EXP(-(LN(19)/($D$11-$C$11))*('Panel Dataset'!I222-$D$11))))</f>
        <v>0.16313099312542179</v>
      </c>
    </row>
    <row r="238" spans="2:10" x14ac:dyDescent="0.3">
      <c r="B238" s="7" t="str">
        <f>'Panel Dataset'!A223</f>
        <v>Teradyne Inc.</v>
      </c>
      <c r="C238" s="7">
        <f>'Panel Dataset'!B223</f>
        <v>2016</v>
      </c>
      <c r="D238" s="12">
        <f>IF('Panel Dataset'!C223&gt;=$D$5,1/(1+EXP(-(LN(19)/($E$5-$D$5))*('Panel Dataset'!C223-$D$5))),1/(1+EXP(-(LN(19)/($D$5-$C$5))*('Panel Dataset'!C223-$D$5))))</f>
        <v>0.35125058762017103</v>
      </c>
      <c r="E238" s="12">
        <f>IF('Panel Dataset'!D223&gt;=$D$6,1/(1+EXP(-(LN(19)/($E$6-$D$6))*('Panel Dataset'!D223-$D$6))),1/(1+EXP(-(LN(19)/($D$6-$C$6))*('Panel Dataset'!D223-$D$6))))</f>
        <v>0.21439458691595659</v>
      </c>
      <c r="F238" s="12">
        <f>IF('Panel Dataset'!E223&gt;=$D$7,1/(1+EXP(-(LN(19)/($E$7-$D$7))*('Panel Dataset'!E223-$D$7))),1/(1+EXP(-(LN(19)/($D$7-$C$7))*('Panel Dataset'!E223-$D$7))))</f>
        <v>0.46708043763670593</v>
      </c>
      <c r="G238" s="12">
        <f>IF('Panel Dataset'!F223&gt;=$D$8,1/(1+EXP(-(LN(19)/($E$8-$D$8))*('Panel Dataset'!F223-$D$8))),1/(1+EXP(-(LN(19)/($D$8-$C$8))*('Panel Dataset'!F223-$D$8))))</f>
        <v>0.31727806543277376</v>
      </c>
      <c r="H238" s="12">
        <f>IF('Panel Dataset'!G223&gt;=$D$9,1/(1+EXP(-(LN(19)/($E$9-$D$9))*('Panel Dataset'!G223-$D$9))),1/(1+EXP(-(LN(19)/($D$9-$C$9))*('Panel Dataset'!G223-$D$9))))</f>
        <v>0.6304634062161617</v>
      </c>
      <c r="I238" s="12">
        <f>IF('Panel Dataset'!H223&gt;=$D$10,1/(1+EXP(-(LN(19)/($E$10-$D$10))*('Panel Dataset'!H223-$D$10))),1/(1+EXP(-(LN(19)/($D$10-$C$10))*('Panel Dataset'!H223-$D$10))))</f>
        <v>0.30600099377512319</v>
      </c>
      <c r="J238" s="12">
        <f>IF('Panel Dataset'!I223&gt;=$D$11,1/(1+EXP(-(LN(19)/($E$11-$D$11))*('Panel Dataset'!I223-$D$11))),1/(1+EXP(-(LN(19)/($D$11-$C$11))*('Panel Dataset'!I223-$D$11))))</f>
        <v>0.15378320210967289</v>
      </c>
    </row>
    <row r="239" spans="2:10" x14ac:dyDescent="0.3">
      <c r="B239" s="7" t="str">
        <f>'Panel Dataset'!A224</f>
        <v>Teradyne Inc.</v>
      </c>
      <c r="C239" s="7">
        <f>'Panel Dataset'!B224</f>
        <v>2017</v>
      </c>
      <c r="D239" s="12">
        <f>IF('Panel Dataset'!C224&gt;=$D$5,1/(1+EXP(-(LN(19)/($E$5-$D$5))*('Panel Dataset'!C224-$D$5))),1/(1+EXP(-(LN(19)/($D$5-$C$5))*('Panel Dataset'!C224-$D$5))))</f>
        <v>0.38521691339771047</v>
      </c>
      <c r="E239" s="12">
        <f>IF('Panel Dataset'!D224&gt;=$D$6,1/(1+EXP(-(LN(19)/($E$6-$D$6))*('Panel Dataset'!D224-$D$6))),1/(1+EXP(-(LN(19)/($D$6-$C$6))*('Panel Dataset'!D224-$D$6))))</f>
        <v>0.30524554918685165</v>
      </c>
      <c r="F239" s="12">
        <f>IF('Panel Dataset'!E224&gt;=$D$7,1/(1+EXP(-(LN(19)/($E$7-$D$7))*('Panel Dataset'!E224-$D$7))),1/(1+EXP(-(LN(19)/($D$7-$C$7))*('Panel Dataset'!E224-$D$7))))</f>
        <v>0.57551237166951408</v>
      </c>
      <c r="G239" s="12">
        <f>IF('Panel Dataset'!F224&gt;=$D$8,1/(1+EXP(-(LN(19)/($E$8-$D$8))*('Panel Dataset'!F224-$D$8))),1/(1+EXP(-(LN(19)/($D$8-$C$8))*('Panel Dataset'!F224-$D$8))))</f>
        <v>0.29383988836601566</v>
      </c>
      <c r="H239" s="12">
        <f>IF('Panel Dataset'!G224&gt;=$D$9,1/(1+EXP(-(LN(19)/($E$9-$D$9))*('Panel Dataset'!G224-$D$9))),1/(1+EXP(-(LN(19)/($D$9-$C$9))*('Panel Dataset'!G224-$D$9))))</f>
        <v>0.65229950379496515</v>
      </c>
      <c r="I239" s="12">
        <f>IF('Panel Dataset'!H224&gt;=$D$10,1/(1+EXP(-(LN(19)/($E$10-$D$10))*('Panel Dataset'!H224-$D$10))),1/(1+EXP(-(LN(19)/($D$10-$C$10))*('Panel Dataset'!H224-$D$10))))</f>
        <v>0.36068814402489213</v>
      </c>
      <c r="J239" s="12">
        <f>IF('Panel Dataset'!I224&gt;=$D$11,1/(1+EXP(-(LN(19)/($E$11-$D$11))*('Panel Dataset'!I224-$D$11))),1/(1+EXP(-(LN(19)/($D$11-$C$11))*('Panel Dataset'!I224-$D$11))))</f>
        <v>0.31725113553512951</v>
      </c>
    </row>
    <row r="240" spans="2:10" x14ac:dyDescent="0.3">
      <c r="B240" s="7" t="str">
        <f>'Panel Dataset'!A225</f>
        <v>Teradyne Inc.</v>
      </c>
      <c r="C240" s="7">
        <f>'Panel Dataset'!B225</f>
        <v>2018</v>
      </c>
      <c r="D240" s="12">
        <f>IF('Panel Dataset'!C225&gt;=$D$5,1/(1+EXP(-(LN(19)/($E$5-$D$5))*('Panel Dataset'!C225-$D$5))),1/(1+EXP(-(LN(19)/($D$5-$C$5))*('Panel Dataset'!C225-$D$5))))</f>
        <v>0.60534058465617657</v>
      </c>
      <c r="E240" s="12">
        <f>IF('Panel Dataset'!D225&gt;=$D$6,1/(1+EXP(-(LN(19)/($E$6-$D$6))*('Panel Dataset'!D225-$D$6))),1/(1+EXP(-(LN(19)/($D$6-$C$6))*('Panel Dataset'!D225-$D$6))))</f>
        <v>0.31390173660825937</v>
      </c>
      <c r="F240" s="12">
        <f>IF('Panel Dataset'!E225&gt;=$D$7,1/(1+EXP(-(LN(19)/($E$7-$D$7))*('Panel Dataset'!E225-$D$7))),1/(1+EXP(-(LN(19)/($D$7-$C$7))*('Panel Dataset'!E225-$D$7))))</f>
        <v>0.72325423709224146</v>
      </c>
      <c r="G240" s="12">
        <f>IF('Panel Dataset'!F225&gt;=$D$8,1/(1+EXP(-(LN(19)/($E$8-$D$8))*('Panel Dataset'!F225-$D$8))),1/(1+EXP(-(LN(19)/($D$8-$C$8))*('Panel Dataset'!F225-$D$8))))</f>
        <v>0.44736163817531077</v>
      </c>
      <c r="H240" s="12">
        <f>IF('Panel Dataset'!G225&gt;=$D$9,1/(1+EXP(-(LN(19)/($E$9-$D$9))*('Panel Dataset'!G225-$D$9))),1/(1+EXP(-(LN(19)/($D$9-$C$9))*('Panel Dataset'!G225-$D$9))))</f>
        <v>0.79979604726951858</v>
      </c>
      <c r="I240" s="12">
        <f>IF('Panel Dataset'!H225&gt;=$D$10,1/(1+EXP(-(LN(19)/($E$10-$D$10))*('Panel Dataset'!H225-$D$10))),1/(1+EXP(-(LN(19)/($D$10-$C$10))*('Panel Dataset'!H225-$D$10))))</f>
        <v>0.37065717687527716</v>
      </c>
      <c r="J240" s="12">
        <f>IF('Panel Dataset'!I225&gt;=$D$11,1/(1+EXP(-(LN(19)/($E$11-$D$11))*('Panel Dataset'!I225-$D$11))),1/(1+EXP(-(LN(19)/($D$11-$C$11))*('Panel Dataset'!I225-$D$11))))</f>
        <v>0.49926765990544886</v>
      </c>
    </row>
    <row r="241" spans="2:10" x14ac:dyDescent="0.3">
      <c r="B241" s="7" t="str">
        <f>'Panel Dataset'!A226</f>
        <v>Teradyne Inc.</v>
      </c>
      <c r="C241" s="7">
        <f>'Panel Dataset'!B226</f>
        <v>2019</v>
      </c>
      <c r="D241" s="12">
        <f>IF('Panel Dataset'!C226&gt;=$D$5,1/(1+EXP(-(LN(19)/($E$5-$D$5))*('Panel Dataset'!C226-$D$5))),1/(1+EXP(-(LN(19)/($D$5-$C$5))*('Panel Dataset'!C226-$D$5))))</f>
        <v>0.63329603234256604</v>
      </c>
      <c r="E241" s="12">
        <f>IF('Panel Dataset'!D226&gt;=$D$6,1/(1+EXP(-(LN(19)/($E$6-$D$6))*('Panel Dataset'!D226-$D$6))),1/(1+EXP(-(LN(19)/($D$6-$C$6))*('Panel Dataset'!D226-$D$6))))</f>
        <v>0.54007131236397199</v>
      </c>
      <c r="F241" s="12">
        <f>IF('Panel Dataset'!E226&gt;=$D$7,1/(1+EXP(-(LN(19)/($E$7-$D$7))*('Panel Dataset'!E226-$D$7))),1/(1+EXP(-(LN(19)/($D$7-$C$7))*('Panel Dataset'!E226-$D$7))))</f>
        <v>0.81036690036875103</v>
      </c>
      <c r="G241" s="12">
        <f>IF('Panel Dataset'!F226&gt;=$D$8,1/(1+EXP(-(LN(19)/($E$8-$D$8))*('Panel Dataset'!F226-$D$8))),1/(1+EXP(-(LN(19)/($D$8-$C$8))*('Panel Dataset'!F226-$D$8))))</f>
        <v>0.61014604979320264</v>
      </c>
      <c r="H241" s="12">
        <f>IF('Panel Dataset'!G226&gt;=$D$9,1/(1+EXP(-(LN(19)/($E$9-$D$9))*('Panel Dataset'!G226-$D$9))),1/(1+EXP(-(LN(19)/($D$9-$C$9))*('Panel Dataset'!G226-$D$9))))</f>
        <v>0.90490273096486085</v>
      </c>
      <c r="I241" s="12">
        <f>IF('Panel Dataset'!H226&gt;=$D$10,1/(1+EXP(-(LN(19)/($E$10-$D$10))*('Panel Dataset'!H226-$D$10))),1/(1+EXP(-(LN(19)/($D$10-$C$10))*('Panel Dataset'!H226-$D$10))))</f>
        <v>0.5199662754571277</v>
      </c>
      <c r="J241" s="12">
        <f>IF('Panel Dataset'!I226&gt;=$D$11,1/(1+EXP(-(LN(19)/($E$11-$D$11))*('Panel Dataset'!I226-$D$11))),1/(1+EXP(-(LN(19)/($D$11-$C$11))*('Panel Dataset'!I226-$D$11))))</f>
        <v>0.25982000575875241</v>
      </c>
    </row>
    <row r="242" spans="2:10" x14ac:dyDescent="0.3">
      <c r="B242" s="7" t="str">
        <f>'Panel Dataset'!A227</f>
        <v>Teradyne Inc.</v>
      </c>
      <c r="C242" s="7">
        <f>'Panel Dataset'!B227</f>
        <v>2020</v>
      </c>
      <c r="D242" s="12">
        <f>IF('Panel Dataset'!C227&gt;=$D$5,1/(1+EXP(-(LN(19)/($E$5-$D$5))*('Panel Dataset'!C227-$D$5))),1/(1+EXP(-(LN(19)/($D$5-$C$5))*('Panel Dataset'!C227-$D$5))))</f>
        <v>0.86308575978039825</v>
      </c>
      <c r="E242" s="12">
        <f>IF('Panel Dataset'!D227&gt;=$D$6,1/(1+EXP(-(LN(19)/($E$6-$D$6))*('Panel Dataset'!D227-$D$6))),1/(1+EXP(-(LN(19)/($D$6-$C$6))*('Panel Dataset'!D227-$D$6))))</f>
        <v>0.67455773009973075</v>
      </c>
      <c r="F242" s="12">
        <f>IF('Panel Dataset'!E227&gt;=$D$7,1/(1+EXP(-(LN(19)/($E$7-$D$7))*('Panel Dataset'!E227-$D$7))),1/(1+EXP(-(LN(19)/($D$7-$C$7))*('Panel Dataset'!E227-$D$7))))</f>
        <v>0.89229682003933319</v>
      </c>
      <c r="G242" s="12">
        <f>IF('Panel Dataset'!F227&gt;=$D$8,1/(1+EXP(-(LN(19)/($E$8-$D$8))*('Panel Dataset'!F227-$D$8))),1/(1+EXP(-(LN(19)/($D$8-$C$8))*('Panel Dataset'!F227-$D$8))))</f>
        <v>0.79924323586146706</v>
      </c>
      <c r="H242" s="12">
        <f>IF('Panel Dataset'!G227&gt;=$D$9,1/(1+EXP(-(LN(19)/($E$9-$D$9))*('Panel Dataset'!G227-$D$9))),1/(1+EXP(-(LN(19)/($D$9-$C$9))*('Panel Dataset'!G227-$D$9))))</f>
        <v>0.96971876201368634</v>
      </c>
      <c r="I242" s="12">
        <f>IF('Panel Dataset'!H227&gt;=$D$10,1/(1+EXP(-(LN(19)/($E$10-$D$10))*('Panel Dataset'!H227-$D$10))),1/(1+EXP(-(LN(19)/($D$10-$C$10))*('Panel Dataset'!H227-$D$10))))</f>
        <v>0.60498421678588188</v>
      </c>
      <c r="J242" s="12">
        <f>IF('Panel Dataset'!I227&gt;=$D$11,1/(1+EXP(-(LN(19)/($E$11-$D$11))*('Panel Dataset'!I227-$D$11))),1/(1+EXP(-(LN(19)/($D$11-$C$11))*('Panel Dataset'!I227-$D$11))))</f>
        <v>0.50997876346450732</v>
      </c>
    </row>
    <row r="243" spans="2:10" x14ac:dyDescent="0.3">
      <c r="B243" s="7" t="str">
        <f>'Panel Dataset'!A228</f>
        <v>Teradyne Inc.</v>
      </c>
      <c r="C243" s="7">
        <f>'Panel Dataset'!B228</f>
        <v>2021</v>
      </c>
      <c r="D243" s="12">
        <f>IF('Panel Dataset'!C228&gt;=$D$5,1/(1+EXP(-(LN(19)/($E$5-$D$5))*('Panel Dataset'!C228-$D$5))),1/(1+EXP(-(LN(19)/($D$5-$C$5))*('Panel Dataset'!C228-$D$5))))</f>
        <v>0.93942493854867282</v>
      </c>
      <c r="E243" s="12">
        <f>IF('Panel Dataset'!D228&gt;=$D$6,1/(1+EXP(-(LN(19)/($E$6-$D$6))*('Panel Dataset'!D228-$D$6))),1/(1+EXP(-(LN(19)/($D$6-$C$6))*('Panel Dataset'!D228-$D$6))))</f>
        <v>0.82998647224819377</v>
      </c>
      <c r="F243" s="12">
        <f>IF('Panel Dataset'!E228&gt;=$D$7,1/(1+EXP(-(LN(19)/($E$7-$D$7))*('Panel Dataset'!E228-$D$7))),1/(1+EXP(-(LN(19)/($D$7-$C$7))*('Panel Dataset'!E228-$D$7))))</f>
        <v>0.91076213749748769</v>
      </c>
      <c r="G243" s="12">
        <f>IF('Panel Dataset'!F228&gt;=$D$8,1/(1+EXP(-(LN(19)/($E$8-$D$8))*('Panel Dataset'!F228-$D$8))),1/(1+EXP(-(LN(19)/($D$8-$C$8))*('Panel Dataset'!F228-$D$8))))</f>
        <v>0.94291242005032572</v>
      </c>
      <c r="H243" s="12">
        <f>IF('Panel Dataset'!G228&gt;=$D$9,1/(1+EXP(-(LN(19)/($E$9-$D$9))*('Panel Dataset'!G228-$D$9))),1/(1+EXP(-(LN(19)/($D$9-$C$9))*('Panel Dataset'!G228-$D$9))))</f>
        <v>0.98597406334650273</v>
      </c>
      <c r="I243" s="12">
        <f>IF('Panel Dataset'!H228&gt;=$D$10,1/(1+EXP(-(LN(19)/($E$10-$D$10))*('Panel Dataset'!H228-$D$10))),1/(1+EXP(-(LN(19)/($D$10-$C$10))*('Panel Dataset'!H228-$D$10))))</f>
        <v>0.90402922783027229</v>
      </c>
      <c r="J243" s="12">
        <f>IF('Panel Dataset'!I228&gt;=$D$11,1/(1+EXP(-(LN(19)/($E$11-$D$11))*('Panel Dataset'!I228-$D$11))),1/(1+EXP(-(LN(19)/($D$11-$C$11))*('Panel Dataset'!I228-$D$11))))</f>
        <v>0.62144487951388461</v>
      </c>
    </row>
    <row r="244" spans="2:10" x14ac:dyDescent="0.3">
      <c r="B244" s="7" t="str">
        <f>'Panel Dataset'!A229</f>
        <v>Teradyne Inc.</v>
      </c>
      <c r="C244" s="7">
        <f>'Panel Dataset'!B229</f>
        <v>2022</v>
      </c>
      <c r="D244" s="12">
        <f>IF('Panel Dataset'!C229&gt;=$D$5,1/(1+EXP(-(LN(19)/($E$5-$D$5))*('Panel Dataset'!C229-$D$5))),1/(1+EXP(-(LN(19)/($D$5-$C$5))*('Panel Dataset'!C229-$D$5))))</f>
        <v>0.952453961415065</v>
      </c>
      <c r="E244" s="12">
        <f>IF('Panel Dataset'!D229&gt;=$D$6,1/(1+EXP(-(LN(19)/($E$6-$D$6))*('Panel Dataset'!D229-$D$6))),1/(1+EXP(-(LN(19)/($D$6-$C$6))*('Panel Dataset'!D229-$D$6))))</f>
        <v>0.85133131082318969</v>
      </c>
      <c r="F244" s="12">
        <f>IF('Panel Dataset'!E229&gt;=$D$7,1/(1+EXP(-(LN(19)/($E$7-$D$7))*('Panel Dataset'!E229-$D$7))),1/(1+EXP(-(LN(19)/($D$7-$C$7))*('Panel Dataset'!E229-$D$7))))</f>
        <v>0.97169624580013314</v>
      </c>
      <c r="G244" s="12">
        <f>IF('Panel Dataset'!F229&gt;=$D$8,1/(1+EXP(-(LN(19)/($E$8-$D$8))*('Panel Dataset'!F229-$D$8))),1/(1+EXP(-(LN(19)/($D$8-$C$8))*('Panel Dataset'!F229-$D$8))))</f>
        <v>0.96325242207408535</v>
      </c>
      <c r="H244" s="12">
        <f>IF('Panel Dataset'!G229&gt;=$D$9,1/(1+EXP(-(LN(19)/($E$9-$D$9))*('Panel Dataset'!G229-$D$9))),1/(1+EXP(-(LN(19)/($D$9-$C$9))*('Panel Dataset'!G229-$D$9))))</f>
        <v>0.95888197359621918</v>
      </c>
      <c r="I244" s="12">
        <f>IF('Panel Dataset'!H229&gt;=$D$10,1/(1+EXP(-(LN(19)/($E$10-$D$10))*('Panel Dataset'!H229-$D$10))),1/(1+EXP(-(LN(19)/($D$10-$C$10))*('Panel Dataset'!H229-$D$10))))</f>
        <v>0.96176576950939163</v>
      </c>
      <c r="J244" s="12">
        <f>IF('Panel Dataset'!I229&gt;=$D$11,1/(1+EXP(-(LN(19)/($E$11-$D$11))*('Panel Dataset'!I229-$D$11))),1/(1+EXP(-(LN(19)/($D$11-$C$11))*('Panel Dataset'!I229-$D$11))))</f>
        <v>0.93796884376990419</v>
      </c>
    </row>
    <row r="245" spans="2:10" x14ac:dyDescent="0.3">
      <c r="B245" s="7" t="str">
        <f>'Panel Dataset'!A230</f>
        <v>Teradyne Inc.</v>
      </c>
      <c r="C245" s="7">
        <f>'Panel Dataset'!B230</f>
        <v>2023</v>
      </c>
      <c r="D245" s="12">
        <f>IF('Panel Dataset'!C230&gt;=$D$5,1/(1+EXP(-(LN(19)/($E$5-$D$5))*('Panel Dataset'!C230-$D$5))),1/(1+EXP(-(LN(19)/($D$5-$C$5))*('Panel Dataset'!C230-$D$5))))</f>
        <v>0.98061706090980127</v>
      </c>
      <c r="E245" s="12">
        <f>IF('Panel Dataset'!D230&gt;=$D$6,1/(1+EXP(-(LN(19)/($E$6-$D$6))*('Panel Dataset'!D230-$D$6))),1/(1+EXP(-(LN(19)/($D$6-$C$6))*('Panel Dataset'!D230-$D$6))))</f>
        <v>0.93570589490801048</v>
      </c>
      <c r="F245" s="12">
        <f>IF('Panel Dataset'!E230&gt;=$D$7,1/(1+EXP(-(LN(19)/($E$7-$D$7))*('Panel Dataset'!E230-$D$7))),1/(1+EXP(-(LN(19)/($D$7-$C$7))*('Panel Dataset'!E230-$D$7))))</f>
        <v>0.97464104307133259</v>
      </c>
      <c r="G245" s="12">
        <f>IF('Panel Dataset'!F230&gt;=$D$8,1/(1+EXP(-(LN(19)/($E$8-$D$8))*('Panel Dataset'!F230-$D$8))),1/(1+EXP(-(LN(19)/($D$8-$C$8))*('Panel Dataset'!F230-$D$8))))</f>
        <v>0.97050073210627885</v>
      </c>
      <c r="H245" s="12">
        <f>IF('Panel Dataset'!G230&gt;=$D$9,1/(1+EXP(-(LN(19)/($E$9-$D$9))*('Panel Dataset'!G230-$D$9))),1/(1+EXP(-(LN(19)/($D$9-$C$9))*('Panel Dataset'!G230-$D$9))))</f>
        <v>0.97873531557430304</v>
      </c>
      <c r="I245" s="12">
        <f>IF('Panel Dataset'!H230&gt;=$D$10,1/(1+EXP(-(LN(19)/($E$10-$D$10))*('Panel Dataset'!H230-$D$10))),1/(1+EXP(-(LN(19)/($D$10-$C$10))*('Panel Dataset'!H230-$D$10))))</f>
        <v>0.96788558812363579</v>
      </c>
      <c r="J245" s="12">
        <f>IF('Panel Dataset'!I230&gt;=$D$11,1/(1+EXP(-(LN(19)/($E$11-$D$11))*('Panel Dataset'!I230-$D$11))),1/(1+EXP(-(LN(19)/($D$11-$C$11))*('Panel Dataset'!I230-$D$11))))</f>
        <v>0.9520637489939815</v>
      </c>
    </row>
    <row r="246" spans="2:10" x14ac:dyDescent="0.3">
      <c r="B246" s="7" t="str">
        <f>'Panel Dataset'!A231</f>
        <v>Teradyne Inc.</v>
      </c>
      <c r="C246" s="7">
        <f>'Panel Dataset'!B231</f>
        <v>2024</v>
      </c>
      <c r="D246" s="12">
        <f>IF('Panel Dataset'!C231&gt;=$D$5,1/(1+EXP(-(LN(19)/($E$5-$D$5))*('Panel Dataset'!C231-$D$5))),1/(1+EXP(-(LN(19)/($D$5-$C$5))*('Panel Dataset'!C231-$D$5))))</f>
        <v>0.98586232551259612</v>
      </c>
      <c r="E246" s="12">
        <f>IF('Panel Dataset'!D231&gt;=$D$6,1/(1+EXP(-(LN(19)/($E$6-$D$6))*('Panel Dataset'!D231-$D$6))),1/(1+EXP(-(LN(19)/($D$6-$C$6))*('Panel Dataset'!D231-$D$6))))</f>
        <v>0.95828925499113748</v>
      </c>
      <c r="F246" s="12">
        <f>IF('Panel Dataset'!E231&gt;=$D$7,1/(1+EXP(-(LN(19)/($E$7-$D$7))*('Panel Dataset'!E231-$D$7))),1/(1+EXP(-(LN(19)/($D$7-$C$7))*('Panel Dataset'!E231-$D$7))))</f>
        <v>0.99023378937380135</v>
      </c>
      <c r="G246" s="12">
        <f>IF('Panel Dataset'!F231&gt;=$D$8,1/(1+EXP(-(LN(19)/($E$8-$D$8))*('Panel Dataset'!F231-$D$8))),1/(1+EXP(-(LN(19)/($D$8-$C$8))*('Panel Dataset'!F231-$D$8))))</f>
        <v>0.9811841676979558</v>
      </c>
      <c r="H246" s="12">
        <f>IF('Panel Dataset'!G231&gt;=$D$9,1/(1+EXP(-(LN(19)/($E$9-$D$9))*('Panel Dataset'!G231-$D$9))),1/(1+EXP(-(LN(19)/($D$9-$C$9))*('Panel Dataset'!G231-$D$9))))</f>
        <v>0.99126206576505815</v>
      </c>
      <c r="I246" s="12">
        <f>IF('Panel Dataset'!H231&gt;=$D$10,1/(1+EXP(-(LN(19)/($E$10-$D$10))*('Panel Dataset'!H231-$D$10))),1/(1+EXP(-(LN(19)/($D$10-$C$10))*('Panel Dataset'!H231-$D$10))))</f>
        <v>0.97197209241784854</v>
      </c>
      <c r="J246" s="12">
        <f>IF('Panel Dataset'!I231&gt;=$D$11,1/(1+EXP(-(LN(19)/($E$11-$D$11))*('Panel Dataset'!I231-$D$11))),1/(1+EXP(-(LN(19)/($D$11-$C$11))*('Panel Dataset'!I231-$D$11))))</f>
        <v>0.97842884122988638</v>
      </c>
    </row>
    <row r="247" spans="2:10" x14ac:dyDescent="0.3">
      <c r="B247" s="7" t="str">
        <f>'Panel Dataset'!A232</f>
        <v>Texas Instruments</v>
      </c>
      <c r="C247" s="7">
        <f>'Panel Dataset'!B232</f>
        <v>2015</v>
      </c>
      <c r="D247" s="12">
        <f>IF('Panel Dataset'!C232&gt;=$D$5,1/(1+EXP(-(LN(19)/($E$5-$D$5))*('Panel Dataset'!C232-$D$5))),1/(1+EXP(-(LN(19)/($D$5-$C$5))*('Panel Dataset'!C232-$D$5))))</f>
        <v>0.12846878114038218</v>
      </c>
      <c r="E247" s="12">
        <f>IF('Panel Dataset'!D232&gt;=$D$6,1/(1+EXP(-(LN(19)/($E$6-$D$6))*('Panel Dataset'!D232-$D$6))),1/(1+EXP(-(LN(19)/($D$6-$C$6))*('Panel Dataset'!D232-$D$6))))</f>
        <v>0.11469955918004024</v>
      </c>
      <c r="F247" s="12">
        <f>IF('Panel Dataset'!E232&gt;=$D$7,1/(1+EXP(-(LN(19)/($E$7-$D$7))*('Panel Dataset'!E232-$D$7))),1/(1+EXP(-(LN(19)/($D$7-$C$7))*('Panel Dataset'!E232-$D$7))))</f>
        <v>0.13385563876821513</v>
      </c>
      <c r="G247" s="12">
        <f>IF('Panel Dataset'!F232&gt;=$D$8,1/(1+EXP(-(LN(19)/($E$8-$D$8))*('Panel Dataset'!F232-$D$8))),1/(1+EXP(-(LN(19)/($D$8-$C$8))*('Panel Dataset'!F232-$D$8))))</f>
        <v>0.14103411011028785</v>
      </c>
      <c r="H247" s="12">
        <f>IF('Panel Dataset'!G232&gt;=$D$9,1/(1+EXP(-(LN(19)/($E$9-$D$9))*('Panel Dataset'!G232-$D$9))),1/(1+EXP(-(LN(19)/($D$9-$C$9))*('Panel Dataset'!G232-$D$9))))</f>
        <v>6.3874025574160193E-2</v>
      </c>
      <c r="I247" s="12">
        <f>IF('Panel Dataset'!H232&gt;=$D$10,1/(1+EXP(-(LN(19)/($E$10-$D$10))*('Panel Dataset'!H232-$D$10))),1/(1+EXP(-(LN(19)/($D$10-$C$10))*('Panel Dataset'!H232-$D$10))))</f>
        <v>0.2630859798141143</v>
      </c>
      <c r="J247" s="12">
        <f>IF('Panel Dataset'!I232&gt;=$D$11,1/(1+EXP(-(LN(19)/($E$11-$D$11))*('Panel Dataset'!I232-$D$11))),1/(1+EXP(-(LN(19)/($D$11-$C$11))*('Panel Dataset'!I232-$D$11))))</f>
        <v>7.1868813267074672E-2</v>
      </c>
    </row>
    <row r="248" spans="2:10" x14ac:dyDescent="0.3">
      <c r="B248" s="7" t="str">
        <f>'Panel Dataset'!A233</f>
        <v>Texas Instruments</v>
      </c>
      <c r="C248" s="7">
        <f>'Panel Dataset'!B233</f>
        <v>2016</v>
      </c>
      <c r="D248" s="12">
        <f>IF('Panel Dataset'!C233&gt;=$D$5,1/(1+EXP(-(LN(19)/($E$5-$D$5))*('Panel Dataset'!C233-$D$5))),1/(1+EXP(-(LN(19)/($D$5-$C$5))*('Panel Dataset'!C233-$D$5))))</f>
        <v>0.12230815832789958</v>
      </c>
      <c r="E248" s="12">
        <f>IF('Panel Dataset'!D233&gt;=$D$6,1/(1+EXP(-(LN(19)/($E$6-$D$6))*('Panel Dataset'!D233-$D$6))),1/(1+EXP(-(LN(19)/($D$6-$C$6))*('Panel Dataset'!D233-$D$6))))</f>
        <v>0.19157994642699969</v>
      </c>
      <c r="F248" s="12">
        <f>IF('Panel Dataset'!E233&gt;=$D$7,1/(1+EXP(-(LN(19)/($E$7-$D$7))*('Panel Dataset'!E233-$D$7))),1/(1+EXP(-(LN(19)/($D$7-$C$7))*('Panel Dataset'!E233-$D$7))))</f>
        <v>0.27413388849431014</v>
      </c>
      <c r="G248" s="12">
        <f>IF('Panel Dataset'!F233&gt;=$D$8,1/(1+EXP(-(LN(19)/($E$8-$D$8))*('Panel Dataset'!F233-$D$8))),1/(1+EXP(-(LN(19)/($D$8-$C$8))*('Panel Dataset'!F233-$D$8))))</f>
        <v>0.13628942102941549</v>
      </c>
      <c r="H248" s="12">
        <f>IF('Panel Dataset'!G233&gt;=$D$9,1/(1+EXP(-(LN(19)/($E$9-$D$9))*('Panel Dataset'!G233-$D$9))),1/(1+EXP(-(LN(19)/($D$9-$C$9))*('Panel Dataset'!G233-$D$9))))</f>
        <v>0.15782584008658915</v>
      </c>
      <c r="I248" s="12">
        <f>IF('Panel Dataset'!H233&gt;=$D$10,1/(1+EXP(-(LN(19)/($E$10-$D$10))*('Panel Dataset'!H233-$D$10))),1/(1+EXP(-(LN(19)/($D$10-$C$10))*('Panel Dataset'!H233-$D$10))))</f>
        <v>0.20797556611523668</v>
      </c>
      <c r="J248" s="12">
        <f>IF('Panel Dataset'!I233&gt;=$D$11,1/(1+EXP(-(LN(19)/($E$11-$D$11))*('Panel Dataset'!I233-$D$11))),1/(1+EXP(-(LN(19)/($D$11-$C$11))*('Panel Dataset'!I233-$D$11))))</f>
        <v>0.43535690763230195</v>
      </c>
    </row>
    <row r="249" spans="2:10" x14ac:dyDescent="0.3">
      <c r="B249" s="7" t="str">
        <f>'Panel Dataset'!A234</f>
        <v>Texas Instruments</v>
      </c>
      <c r="C249" s="7">
        <f>'Panel Dataset'!B234</f>
        <v>2017</v>
      </c>
      <c r="D249" s="12">
        <f>IF('Panel Dataset'!C234&gt;=$D$5,1/(1+EXP(-(LN(19)/($E$5-$D$5))*('Panel Dataset'!C234-$D$5))),1/(1+EXP(-(LN(19)/($D$5-$C$5))*('Panel Dataset'!C234-$D$5))))</f>
        <v>0.18655247394866295</v>
      </c>
      <c r="E249" s="12">
        <f>IF('Panel Dataset'!D234&gt;=$D$6,1/(1+EXP(-(LN(19)/($E$6-$D$6))*('Panel Dataset'!D234-$D$6))),1/(1+EXP(-(LN(19)/($D$6-$C$6))*('Panel Dataset'!D234-$D$6))))</f>
        <v>0.22256660793475316</v>
      </c>
      <c r="F249" s="12">
        <f>IF('Panel Dataset'!E234&gt;=$D$7,1/(1+EXP(-(LN(19)/($E$7-$D$7))*('Panel Dataset'!E234-$D$7))),1/(1+EXP(-(LN(19)/($D$7-$C$7))*('Panel Dataset'!E234-$D$7))))</f>
        <v>0.38539580066423723</v>
      </c>
      <c r="G249" s="12">
        <f>IF('Panel Dataset'!F234&gt;=$D$8,1/(1+EXP(-(LN(19)/($E$8-$D$8))*('Panel Dataset'!F234-$D$8))),1/(1+EXP(-(LN(19)/($D$8-$C$8))*('Panel Dataset'!F234-$D$8))))</f>
        <v>0.21623222760863139</v>
      </c>
      <c r="H249" s="12">
        <f>IF('Panel Dataset'!G234&gt;=$D$9,1/(1+EXP(-(LN(19)/($E$9-$D$9))*('Panel Dataset'!G234-$D$9))),1/(1+EXP(-(LN(19)/($D$9-$C$9))*('Panel Dataset'!G234-$D$9))))</f>
        <v>0.16528492706727771</v>
      </c>
      <c r="I249" s="12">
        <f>IF('Panel Dataset'!H234&gt;=$D$10,1/(1+EXP(-(LN(19)/($E$10-$D$10))*('Panel Dataset'!H234-$D$10))),1/(1+EXP(-(LN(19)/($D$10-$C$10))*('Panel Dataset'!H234-$D$10))))</f>
        <v>0.20797556611523668</v>
      </c>
      <c r="J249" s="12">
        <f>IF('Panel Dataset'!I234&gt;=$D$11,1/(1+EXP(-(LN(19)/($E$11-$D$11))*('Panel Dataset'!I234-$D$11))),1/(1+EXP(-(LN(19)/($D$11-$C$11))*('Panel Dataset'!I234-$D$11))))</f>
        <v>0.35458853745451946</v>
      </c>
    </row>
    <row r="250" spans="2:10" x14ac:dyDescent="0.3">
      <c r="B250" s="7" t="str">
        <f>'Panel Dataset'!A235</f>
        <v>Texas Instruments</v>
      </c>
      <c r="C250" s="7">
        <f>'Panel Dataset'!B235</f>
        <v>2018</v>
      </c>
      <c r="D250" s="12">
        <f>IF('Panel Dataset'!C235&gt;=$D$5,1/(1+EXP(-(LN(19)/($E$5-$D$5))*('Panel Dataset'!C235-$D$5))),1/(1+EXP(-(LN(19)/($D$5-$C$5))*('Panel Dataset'!C235-$D$5))))</f>
        <v>0.26515700345700527</v>
      </c>
      <c r="E250" s="12">
        <f>IF('Panel Dataset'!D235&gt;=$D$6,1/(1+EXP(-(LN(19)/($E$6-$D$6))*('Panel Dataset'!D235-$D$6))),1/(1+EXP(-(LN(19)/($D$6-$C$6))*('Panel Dataset'!D235-$D$6))))</f>
        <v>0.42865599767589763</v>
      </c>
      <c r="F250" s="12">
        <f>IF('Panel Dataset'!E235&gt;=$D$7,1/(1+EXP(-(LN(19)/($E$7-$D$7))*('Panel Dataset'!E235-$D$7))),1/(1+EXP(-(LN(19)/($D$7-$C$7))*('Panel Dataset'!E235-$D$7))))</f>
        <v>0.53775519195376265</v>
      </c>
      <c r="G250" s="12">
        <f>IF('Panel Dataset'!F235&gt;=$D$8,1/(1+EXP(-(LN(19)/($E$8-$D$8))*('Panel Dataset'!F235-$D$8))),1/(1+EXP(-(LN(19)/($D$8-$C$8))*('Panel Dataset'!F235-$D$8))))</f>
        <v>0.22153885706891402</v>
      </c>
      <c r="H250" s="12">
        <f>IF('Panel Dataset'!G235&gt;=$D$9,1/(1+EXP(-(LN(19)/($E$9-$D$9))*('Panel Dataset'!G235-$D$9))),1/(1+EXP(-(LN(19)/($D$9-$C$9))*('Panel Dataset'!G235-$D$9))))</f>
        <v>0.34365239914859969</v>
      </c>
      <c r="I250" s="12">
        <f>IF('Panel Dataset'!H235&gt;=$D$10,1/(1+EXP(-(LN(19)/($E$10-$D$10))*('Panel Dataset'!H235-$D$10))),1/(1+EXP(-(LN(19)/($D$10-$C$10))*('Panel Dataset'!H235-$D$10))))</f>
        <v>0.30492823158044979</v>
      </c>
      <c r="J250" s="12">
        <f>IF('Panel Dataset'!I235&gt;=$D$11,1/(1+EXP(-(LN(19)/($E$11-$D$11))*('Panel Dataset'!I235-$D$11))),1/(1+EXP(-(LN(19)/($D$11-$C$11))*('Panel Dataset'!I235-$D$11))))</f>
        <v>0.48466461266900213</v>
      </c>
    </row>
    <row r="251" spans="2:10" x14ac:dyDescent="0.3">
      <c r="B251" s="7" t="str">
        <f>'Panel Dataset'!A236</f>
        <v>Texas Instruments</v>
      </c>
      <c r="C251" s="7">
        <f>'Panel Dataset'!B236</f>
        <v>2019</v>
      </c>
      <c r="D251" s="12">
        <f>IF('Panel Dataset'!C236&gt;=$D$5,1/(1+EXP(-(LN(19)/($E$5-$D$5))*('Panel Dataset'!C236-$D$5))),1/(1+EXP(-(LN(19)/($D$5-$C$5))*('Panel Dataset'!C236-$D$5))))</f>
        <v>0.46155860381602237</v>
      </c>
      <c r="E251" s="12">
        <f>IF('Panel Dataset'!D236&gt;=$D$6,1/(1+EXP(-(LN(19)/($E$6-$D$6))*('Panel Dataset'!D236-$D$6))),1/(1+EXP(-(LN(19)/($D$6-$C$6))*('Panel Dataset'!D236-$D$6))))</f>
        <v>0.55405931351754545</v>
      </c>
      <c r="F251" s="12">
        <f>IF('Panel Dataset'!E236&gt;=$D$7,1/(1+EXP(-(LN(19)/($E$7-$D$7))*('Panel Dataset'!E236-$D$7))),1/(1+EXP(-(LN(19)/($D$7-$C$7))*('Panel Dataset'!E236-$D$7))))</f>
        <v>0.68914224668710045</v>
      </c>
      <c r="G251" s="12">
        <f>IF('Panel Dataset'!F236&gt;=$D$8,1/(1+EXP(-(LN(19)/($E$8-$D$8))*('Panel Dataset'!F236-$D$8))),1/(1+EXP(-(LN(19)/($D$8-$C$8))*('Panel Dataset'!F236-$D$8))))</f>
        <v>0.38972401517346911</v>
      </c>
      <c r="H251" s="12">
        <f>IF('Panel Dataset'!G236&gt;=$D$9,1/(1+EXP(-(LN(19)/($E$9-$D$9))*('Panel Dataset'!G236-$D$9))),1/(1+EXP(-(LN(19)/($D$9-$C$9))*('Panel Dataset'!G236-$D$9))))</f>
        <v>0.41088944394450727</v>
      </c>
      <c r="I251" s="12">
        <f>IF('Panel Dataset'!H236&gt;=$D$10,1/(1+EXP(-(LN(19)/($E$10-$D$10))*('Panel Dataset'!H236-$D$10))),1/(1+EXP(-(LN(19)/($D$10-$C$10))*('Panel Dataset'!H236-$D$10))))</f>
        <v>0.36419344090197814</v>
      </c>
      <c r="J251" s="12">
        <f>IF('Panel Dataset'!I236&gt;=$D$11,1/(1+EXP(-(LN(19)/($E$11-$D$11))*('Panel Dataset'!I236-$D$11))),1/(1+EXP(-(LN(19)/($D$11-$C$11))*('Panel Dataset'!I236-$D$11))))</f>
        <v>0.46911744773251385</v>
      </c>
    </row>
    <row r="252" spans="2:10" x14ac:dyDescent="0.3">
      <c r="B252" s="7" t="str">
        <f>'Panel Dataset'!A237</f>
        <v>Texas Instruments</v>
      </c>
      <c r="C252" s="7">
        <f>'Panel Dataset'!B237</f>
        <v>2020</v>
      </c>
      <c r="D252" s="12">
        <f>IF('Panel Dataset'!C237&gt;=$D$5,1/(1+EXP(-(LN(19)/($E$5-$D$5))*('Panel Dataset'!C237-$D$5))),1/(1+EXP(-(LN(19)/($D$5-$C$5))*('Panel Dataset'!C237-$D$5))))</f>
        <v>0.74164855950673769</v>
      </c>
      <c r="E252" s="12">
        <f>IF('Panel Dataset'!D237&gt;=$D$6,1/(1+EXP(-(LN(19)/($E$6-$D$6))*('Panel Dataset'!D237-$D$6))),1/(1+EXP(-(LN(19)/($D$6-$C$6))*('Panel Dataset'!D237-$D$6))))</f>
        <v>0.70602352895780485</v>
      </c>
      <c r="F252" s="12">
        <f>IF('Panel Dataset'!E237&gt;=$D$7,1/(1+EXP(-(LN(19)/($E$7-$D$7))*('Panel Dataset'!E237-$D$7))),1/(1+EXP(-(LN(19)/($D$7-$C$7))*('Panel Dataset'!E237-$D$7))))</f>
        <v>0.62996533864053839</v>
      </c>
      <c r="G252" s="12">
        <f>IF('Panel Dataset'!F237&gt;=$D$8,1/(1+EXP(-(LN(19)/($E$8-$D$8))*('Panel Dataset'!F237-$D$8))),1/(1+EXP(-(LN(19)/($D$8-$C$8))*('Panel Dataset'!F237-$D$8))))</f>
        <v>0.54358542470373528</v>
      </c>
      <c r="H252" s="12">
        <f>IF('Panel Dataset'!G237&gt;=$D$9,1/(1+EXP(-(LN(19)/($E$9-$D$9))*('Panel Dataset'!G237-$D$9))),1/(1+EXP(-(LN(19)/($D$9-$C$9))*('Panel Dataset'!G237-$D$9))))</f>
        <v>0.72720806772996993</v>
      </c>
      <c r="I252" s="12">
        <f>IF('Panel Dataset'!H237&gt;=$D$10,1/(1+EXP(-(LN(19)/($E$10-$D$10))*('Panel Dataset'!H237-$D$10))),1/(1+EXP(-(LN(19)/($D$10-$C$10))*('Panel Dataset'!H237-$D$10))))</f>
        <v>0.74979602284461067</v>
      </c>
      <c r="J252" s="12">
        <f>IF('Panel Dataset'!I237&gt;=$D$11,1/(1+EXP(-(LN(19)/($E$11-$D$11))*('Panel Dataset'!I237-$D$11))),1/(1+EXP(-(LN(19)/($D$11-$C$11))*('Panel Dataset'!I237-$D$11))))</f>
        <v>0.26738123102002948</v>
      </c>
    </row>
    <row r="253" spans="2:10" x14ac:dyDescent="0.3">
      <c r="B253" s="7" t="str">
        <f>'Panel Dataset'!A238</f>
        <v>Texas Instruments</v>
      </c>
      <c r="C253" s="7">
        <f>'Panel Dataset'!B238</f>
        <v>2021</v>
      </c>
      <c r="D253" s="12">
        <f>IF('Panel Dataset'!C238&gt;=$D$5,1/(1+EXP(-(LN(19)/($E$5-$D$5))*('Panel Dataset'!C238-$D$5))),1/(1+EXP(-(LN(19)/($D$5-$C$5))*('Panel Dataset'!C238-$D$5))))</f>
        <v>0.85753454296419751</v>
      </c>
      <c r="E253" s="12">
        <f>IF('Panel Dataset'!D238&gt;=$D$6,1/(1+EXP(-(LN(19)/($E$6-$D$6))*('Panel Dataset'!D238-$D$6))),1/(1+EXP(-(LN(19)/($D$6-$C$6))*('Panel Dataset'!D238-$D$6))))</f>
        <v>0.83205458907835483</v>
      </c>
      <c r="F253" s="12">
        <f>IF('Panel Dataset'!E238&gt;=$D$7,1/(1+EXP(-(LN(19)/($E$7-$D$7))*('Panel Dataset'!E238-$D$7))),1/(1+EXP(-(LN(19)/($D$7-$C$7))*('Panel Dataset'!E238-$D$7))))</f>
        <v>0.87119915139742599</v>
      </c>
      <c r="G253" s="12">
        <f>IF('Panel Dataset'!F238&gt;=$D$8,1/(1+EXP(-(LN(19)/($E$8-$D$8))*('Panel Dataset'!F238-$D$8))),1/(1+EXP(-(LN(19)/($D$8-$C$8))*('Panel Dataset'!F238-$D$8))))</f>
        <v>0.70553112889266589</v>
      </c>
      <c r="H253" s="12">
        <f>IF('Panel Dataset'!G238&gt;=$D$9,1/(1+EXP(-(LN(19)/($E$9-$D$9))*('Panel Dataset'!G238-$D$9))),1/(1+EXP(-(LN(19)/($D$9-$C$9))*('Panel Dataset'!G238-$D$9))))</f>
        <v>0.85640403631606665</v>
      </c>
      <c r="I253" s="12">
        <f>IF('Panel Dataset'!H238&gt;=$D$10,1/(1+EXP(-(LN(19)/($E$10-$D$10))*('Panel Dataset'!H238-$D$10))),1/(1+EXP(-(LN(19)/($D$10-$C$10))*('Panel Dataset'!H238-$D$10))))</f>
        <v>0.91405424553683501</v>
      </c>
      <c r="J253" s="12">
        <f>IF('Panel Dataset'!I238&gt;=$D$11,1/(1+EXP(-(LN(19)/($E$11-$D$11))*('Panel Dataset'!I238-$D$11))),1/(1+EXP(-(LN(19)/($D$11-$C$11))*('Panel Dataset'!I238-$D$11))))</f>
        <v>0.90180695277484035</v>
      </c>
    </row>
    <row r="254" spans="2:10" x14ac:dyDescent="0.3">
      <c r="B254" s="7" t="str">
        <f>'Panel Dataset'!A239</f>
        <v>Texas Instruments</v>
      </c>
      <c r="C254" s="7">
        <f>'Panel Dataset'!B239</f>
        <v>2022</v>
      </c>
      <c r="D254" s="12">
        <f>IF('Panel Dataset'!C239&gt;=$D$5,1/(1+EXP(-(LN(19)/($E$5-$D$5))*('Panel Dataset'!C239-$D$5))),1/(1+EXP(-(LN(19)/($D$5-$C$5))*('Panel Dataset'!C239-$D$5))))</f>
        <v>0.91629434789096376</v>
      </c>
      <c r="E254" s="12">
        <f>IF('Panel Dataset'!D239&gt;=$D$6,1/(1+EXP(-(LN(19)/($E$6-$D$6))*('Panel Dataset'!D239-$D$6))),1/(1+EXP(-(LN(19)/($D$6-$C$6))*('Panel Dataset'!D239-$D$6))))</f>
        <v>0.91478109570293753</v>
      </c>
      <c r="F254" s="12">
        <f>IF('Panel Dataset'!E239&gt;=$D$7,1/(1+EXP(-(LN(19)/($E$7-$D$7))*('Panel Dataset'!E239-$D$7))),1/(1+EXP(-(LN(19)/($D$7-$C$7))*('Panel Dataset'!E239-$D$7))))</f>
        <v>0.87995081308704515</v>
      </c>
      <c r="G254" s="12">
        <f>IF('Panel Dataset'!F239&gt;=$D$8,1/(1+EXP(-(LN(19)/($E$8-$D$8))*('Panel Dataset'!F239-$D$8))),1/(1+EXP(-(LN(19)/($D$8-$C$8))*('Panel Dataset'!F239-$D$8))))</f>
        <v>0.87533312279009612</v>
      </c>
      <c r="H254" s="12">
        <f>IF('Panel Dataset'!G239&gt;=$D$9,1/(1+EXP(-(LN(19)/($E$9-$D$9))*('Panel Dataset'!G239-$D$9))),1/(1+EXP(-(LN(19)/($D$9-$C$9))*('Panel Dataset'!G239-$D$9))))</f>
        <v>0.73982786053269678</v>
      </c>
      <c r="I254" s="12">
        <f>IF('Panel Dataset'!H239&gt;=$D$10,1/(1+EXP(-(LN(19)/($E$10-$D$10))*('Panel Dataset'!H239-$D$10))),1/(1+EXP(-(LN(19)/($D$10-$C$10))*('Panel Dataset'!H239-$D$10))))</f>
        <v>0.95453452153114371</v>
      </c>
      <c r="J254" s="12">
        <f>IF('Panel Dataset'!I239&gt;=$D$11,1/(1+EXP(-(LN(19)/($E$11-$D$11))*('Panel Dataset'!I239-$D$11))),1/(1+EXP(-(LN(19)/($D$11-$C$11))*('Panel Dataset'!I239-$D$11))))</f>
        <v>0.95346612707542677</v>
      </c>
    </row>
    <row r="255" spans="2:10" x14ac:dyDescent="0.3">
      <c r="B255" s="7" t="str">
        <f>'Panel Dataset'!A240</f>
        <v>Texas Instruments</v>
      </c>
      <c r="C255" s="7">
        <f>'Panel Dataset'!B240</f>
        <v>2023</v>
      </c>
      <c r="D255" s="12">
        <f>IF('Panel Dataset'!C240&gt;=$D$5,1/(1+EXP(-(LN(19)/($E$5-$D$5))*('Panel Dataset'!C240-$D$5))),1/(1+EXP(-(LN(19)/($D$5-$C$5))*('Panel Dataset'!C240-$D$5))))</f>
        <v>0.92900983114373026</v>
      </c>
      <c r="E255" s="12">
        <f>IF('Panel Dataset'!D240&gt;=$D$6,1/(1+EXP(-(LN(19)/($E$6-$D$6))*('Panel Dataset'!D240-$D$6))),1/(1+EXP(-(LN(19)/($D$6-$C$6))*('Panel Dataset'!D240-$D$6))))</f>
        <v>0.96647754043464573</v>
      </c>
      <c r="F255" s="12">
        <f>IF('Panel Dataset'!E240&gt;=$D$7,1/(1+EXP(-(LN(19)/($E$7-$D$7))*('Panel Dataset'!E240-$D$7))),1/(1+EXP(-(LN(19)/($D$7-$C$7))*('Panel Dataset'!E240-$D$7))))</f>
        <v>0.93989394187558284</v>
      </c>
      <c r="G255" s="12">
        <f>IF('Panel Dataset'!F240&gt;=$D$8,1/(1+EXP(-(LN(19)/($E$8-$D$8))*('Panel Dataset'!F240-$D$8))),1/(1+EXP(-(LN(19)/($D$8-$C$8))*('Panel Dataset'!F240-$D$8))))</f>
        <v>0.89978032270054209</v>
      </c>
      <c r="H255" s="12">
        <f>IF('Panel Dataset'!G240&gt;=$D$9,1/(1+EXP(-(LN(19)/($E$9-$D$9))*('Panel Dataset'!G240-$D$9))),1/(1+EXP(-(LN(19)/($D$9-$C$9))*('Panel Dataset'!G240-$D$9))))</f>
        <v>0.84532280939008031</v>
      </c>
      <c r="I255" s="12">
        <f>IF('Panel Dataset'!H240&gt;=$D$10,1/(1+EXP(-(LN(19)/($E$10-$D$10))*('Panel Dataset'!H240-$D$10))),1/(1+EXP(-(LN(19)/($D$10-$C$10))*('Panel Dataset'!H240-$D$10))))</f>
        <v>0.95029776920852216</v>
      </c>
      <c r="J255" s="12">
        <f>IF('Panel Dataset'!I240&gt;=$D$11,1/(1+EXP(-(LN(19)/($E$11-$D$11))*('Panel Dataset'!I240-$D$11))),1/(1+EXP(-(LN(19)/($D$11-$C$11))*('Panel Dataset'!I240-$D$11))))</f>
        <v>0.97430432855782811</v>
      </c>
    </row>
    <row r="256" spans="2:10" x14ac:dyDescent="0.3">
      <c r="B256" s="7" t="str">
        <f>'Panel Dataset'!A241</f>
        <v>Texas Instruments</v>
      </c>
      <c r="C256" s="7">
        <f>'Panel Dataset'!B241</f>
        <v>2024</v>
      </c>
      <c r="D256" s="12">
        <f>IF('Panel Dataset'!C241&gt;=$D$5,1/(1+EXP(-(LN(19)/($E$5-$D$5))*('Panel Dataset'!C241-$D$5))),1/(1+EXP(-(LN(19)/($D$5-$C$5))*('Panel Dataset'!C241-$D$5))))</f>
        <v>0.94041204915563836</v>
      </c>
      <c r="E256" s="12">
        <f>IF('Panel Dataset'!D241&gt;=$D$6,1/(1+EXP(-(LN(19)/($E$6-$D$6))*('Panel Dataset'!D241-$D$6))),1/(1+EXP(-(LN(19)/($D$6-$C$6))*('Panel Dataset'!D241-$D$6))))</f>
        <v>0.9616817353444802</v>
      </c>
      <c r="F256" s="12">
        <f>IF('Panel Dataset'!E241&gt;=$D$7,1/(1+EXP(-(LN(19)/($E$7-$D$7))*('Panel Dataset'!E241-$D$7))),1/(1+EXP(-(LN(19)/($D$7-$C$7))*('Panel Dataset'!E241-$D$7))))</f>
        <v>0.95535957785435721</v>
      </c>
      <c r="G256" s="12">
        <f>IF('Panel Dataset'!F241&gt;=$D$8,1/(1+EXP(-(LN(19)/($E$8-$D$8))*('Panel Dataset'!F241-$D$8))),1/(1+EXP(-(LN(19)/($D$8-$C$8))*('Panel Dataset'!F241-$D$8))))</f>
        <v>0.91213988160675352</v>
      </c>
      <c r="H256" s="12">
        <f>IF('Panel Dataset'!G241&gt;=$D$9,1/(1+EXP(-(LN(19)/($E$9-$D$9))*('Panel Dataset'!G241-$D$9))),1/(1+EXP(-(LN(19)/($D$9-$C$9))*('Panel Dataset'!G241-$D$9))))</f>
        <v>0.92278653156259349</v>
      </c>
      <c r="I256" s="12">
        <f>IF('Panel Dataset'!H241&gt;=$D$10,1/(1+EXP(-(LN(19)/($E$10-$D$10))*('Panel Dataset'!H241-$D$10))),1/(1+EXP(-(LN(19)/($D$10-$C$10))*('Panel Dataset'!H241-$D$10))))</f>
        <v>0.96639950529842056</v>
      </c>
      <c r="J256" s="12">
        <f>IF('Panel Dataset'!I241&gt;=$D$11,1/(1+EXP(-(LN(19)/($E$11-$D$11))*('Panel Dataset'!I241-$D$11))),1/(1+EXP(-(LN(19)/($D$11-$C$11))*('Panel Dataset'!I241-$D$11))))</f>
        <v>0.94857062914822454</v>
      </c>
    </row>
    <row r="257" spans="2:10" x14ac:dyDescent="0.3">
      <c r="B257" s="7" t="str">
        <f>'Panel Dataset'!A242</f>
        <v>Western Digital</v>
      </c>
      <c r="C257" s="7">
        <f>'Panel Dataset'!B242</f>
        <v>2015</v>
      </c>
      <c r="D257" s="12">
        <f>IF('Panel Dataset'!C242&gt;=$D$5,1/(1+EXP(-(LN(19)/($E$5-$D$5))*('Panel Dataset'!C242-$D$5))),1/(1+EXP(-(LN(19)/($D$5-$C$5))*('Panel Dataset'!C242-$D$5))))</f>
        <v>0.16851644742986469</v>
      </c>
      <c r="E257" s="12">
        <f>IF('Panel Dataset'!D242&gt;=$D$6,1/(1+EXP(-(LN(19)/($E$6-$D$6))*('Panel Dataset'!D242-$D$6))),1/(1+EXP(-(LN(19)/($D$6-$C$6))*('Panel Dataset'!D242-$D$6))))</f>
        <v>9.8700131817052353E-2</v>
      </c>
      <c r="F257" s="12">
        <f>IF('Panel Dataset'!E242&gt;=$D$7,1/(1+EXP(-(LN(19)/($E$7-$D$7))*('Panel Dataset'!E242-$D$7))),1/(1+EXP(-(LN(19)/($D$7-$C$7))*('Panel Dataset'!E242-$D$7))))</f>
        <v>0.19413078755584562</v>
      </c>
      <c r="G257" s="12">
        <f>IF('Panel Dataset'!F242&gt;=$D$8,1/(1+EXP(-(LN(19)/($E$8-$D$8))*('Panel Dataset'!F242-$D$8))),1/(1+EXP(-(LN(19)/($D$8-$C$8))*('Panel Dataset'!F242-$D$8))))</f>
        <v>7.3828871543837174E-2</v>
      </c>
      <c r="H257" s="12">
        <f>IF('Panel Dataset'!G242&gt;=$D$9,1/(1+EXP(-(LN(19)/($E$9-$D$9))*('Panel Dataset'!G242-$D$9))),1/(1+EXP(-(LN(19)/($D$9-$C$9))*('Panel Dataset'!G242-$D$9))))</f>
        <v>7.6081243129098267E-2</v>
      </c>
      <c r="I257" s="12">
        <f>IF('Panel Dataset'!H242&gt;=$D$10,1/(1+EXP(-(LN(19)/($E$10-$D$10))*('Panel Dataset'!H242-$D$10))),1/(1+EXP(-(LN(19)/($D$10-$C$10))*('Panel Dataset'!H242-$D$10))))</f>
        <v>0.24983041243370319</v>
      </c>
      <c r="J257" s="12">
        <f>IF('Panel Dataset'!I242&gt;=$D$11,1/(1+EXP(-(LN(19)/($E$11-$D$11))*('Panel Dataset'!I242-$D$11))),1/(1+EXP(-(LN(19)/($D$11-$C$11))*('Panel Dataset'!I242-$D$11))))</f>
        <v>0.1158379859224541</v>
      </c>
    </row>
    <row r="258" spans="2:10" x14ac:dyDescent="0.3">
      <c r="B258" s="7" t="str">
        <f>'Panel Dataset'!A243</f>
        <v>Western Digital</v>
      </c>
      <c r="C258" s="7">
        <f>'Panel Dataset'!B243</f>
        <v>2016</v>
      </c>
      <c r="D258" s="12">
        <f>IF('Panel Dataset'!C243&gt;=$D$5,1/(1+EXP(-(LN(19)/($E$5-$D$5))*('Panel Dataset'!C243-$D$5))),1/(1+EXP(-(LN(19)/($D$5-$C$5))*('Panel Dataset'!C243-$D$5))))</f>
        <v>0.21265338543391538</v>
      </c>
      <c r="E258" s="12">
        <f>IF('Panel Dataset'!D243&gt;=$D$6,1/(1+EXP(-(LN(19)/($E$6-$D$6))*('Panel Dataset'!D243-$D$6))),1/(1+EXP(-(LN(19)/($D$6-$C$6))*('Panel Dataset'!D243-$D$6))))</f>
        <v>0.18097836482503221</v>
      </c>
      <c r="F258" s="12">
        <f>IF('Panel Dataset'!E243&gt;=$D$7,1/(1+EXP(-(LN(19)/($E$7-$D$7))*('Panel Dataset'!E243-$D$7))),1/(1+EXP(-(LN(19)/($D$7-$C$7))*('Panel Dataset'!E243-$D$7))))</f>
        <v>0.30238068798035206</v>
      </c>
      <c r="G258" s="12">
        <f>IF('Panel Dataset'!F243&gt;=$D$8,1/(1+EXP(-(LN(19)/($E$8-$D$8))*('Panel Dataset'!F243-$D$8))),1/(1+EXP(-(LN(19)/($D$8-$C$8))*('Panel Dataset'!F243-$D$8))))</f>
        <v>8.1749445511237917E-2</v>
      </c>
      <c r="H258" s="12">
        <f>IF('Panel Dataset'!G243&gt;=$D$9,1/(1+EXP(-(LN(19)/($E$9-$D$9))*('Panel Dataset'!G243-$D$9))),1/(1+EXP(-(LN(19)/($D$9-$C$9))*('Panel Dataset'!G243-$D$9))))</f>
        <v>7.6214846697820596E-2</v>
      </c>
      <c r="I258" s="12">
        <f>IF('Panel Dataset'!H243&gt;=$D$10,1/(1+EXP(-(LN(19)/($E$10-$D$10))*('Panel Dataset'!H243-$D$10))),1/(1+EXP(-(LN(19)/($D$10-$C$10))*('Panel Dataset'!H243-$D$10))))</f>
        <v>0.26727345201019082</v>
      </c>
      <c r="J258" s="12">
        <f>IF('Panel Dataset'!I243&gt;=$D$11,1/(1+EXP(-(LN(19)/($E$11-$D$11))*('Panel Dataset'!I243-$D$11))),1/(1+EXP(-(LN(19)/($D$11-$C$11))*('Panel Dataset'!I243-$D$11))))</f>
        <v>0.19945533151214631</v>
      </c>
    </row>
    <row r="259" spans="2:10" x14ac:dyDescent="0.3">
      <c r="B259" s="7" t="str">
        <f>'Panel Dataset'!A244</f>
        <v>Western Digital</v>
      </c>
      <c r="C259" s="7">
        <f>'Panel Dataset'!B244</f>
        <v>2017</v>
      </c>
      <c r="D259" s="12">
        <f>IF('Panel Dataset'!C244&gt;=$D$5,1/(1+EXP(-(LN(19)/($E$5-$D$5))*('Panel Dataset'!C244-$D$5))),1/(1+EXP(-(LN(19)/($D$5-$C$5))*('Panel Dataset'!C244-$D$5))))</f>
        <v>0.19562190984113403</v>
      </c>
      <c r="E259" s="12">
        <f>IF('Panel Dataset'!D244&gt;=$D$6,1/(1+EXP(-(LN(19)/($E$6-$D$6))*('Panel Dataset'!D244-$D$6))),1/(1+EXP(-(LN(19)/($D$6-$C$6))*('Panel Dataset'!D244-$D$6))))</f>
        <v>0.17862546223877099</v>
      </c>
      <c r="F259" s="12">
        <f>IF('Panel Dataset'!E244&gt;=$D$7,1/(1+EXP(-(LN(19)/($E$7-$D$7))*('Panel Dataset'!E244-$D$7))),1/(1+EXP(-(LN(19)/($D$7-$C$7))*('Panel Dataset'!E244-$D$7))))</f>
        <v>0.45234923213739275</v>
      </c>
      <c r="G259" s="12">
        <f>IF('Panel Dataset'!F244&gt;=$D$8,1/(1+EXP(-(LN(19)/($E$8-$D$8))*('Panel Dataset'!F244-$D$8))),1/(1+EXP(-(LN(19)/($D$8-$C$8))*('Panel Dataset'!F244-$D$8))))</f>
        <v>0.11670616275062047</v>
      </c>
      <c r="H259" s="12">
        <f>IF('Panel Dataset'!G244&gt;=$D$9,1/(1+EXP(-(LN(19)/($E$9-$D$9))*('Panel Dataset'!G244-$D$9))),1/(1+EXP(-(LN(19)/($D$9-$C$9))*('Panel Dataset'!G244-$D$9))))</f>
        <v>0.22121791955588441</v>
      </c>
      <c r="I259" s="12">
        <f>IF('Panel Dataset'!H244&gt;=$D$10,1/(1+EXP(-(LN(19)/($E$10-$D$10))*('Panel Dataset'!H244-$D$10))),1/(1+EXP(-(LN(19)/($D$10-$C$10))*('Panel Dataset'!H244-$D$10))))</f>
        <v>0.28392631722654127</v>
      </c>
      <c r="J259" s="12">
        <f>IF('Panel Dataset'!I244&gt;=$D$11,1/(1+EXP(-(LN(19)/($E$11-$D$11))*('Panel Dataset'!I244-$D$11))),1/(1+EXP(-(LN(19)/($D$11-$C$11))*('Panel Dataset'!I244-$D$11))))</f>
        <v>0.20070223367798201</v>
      </c>
    </row>
    <row r="260" spans="2:10" x14ac:dyDescent="0.3">
      <c r="B260" s="7" t="str">
        <f>'Panel Dataset'!A245</f>
        <v>Western Digital</v>
      </c>
      <c r="C260" s="7">
        <f>'Panel Dataset'!B245</f>
        <v>2018</v>
      </c>
      <c r="D260" s="12">
        <f>IF('Panel Dataset'!C245&gt;=$D$5,1/(1+EXP(-(LN(19)/($E$5-$D$5))*('Panel Dataset'!C245-$D$5))),1/(1+EXP(-(LN(19)/($D$5-$C$5))*('Panel Dataset'!C245-$D$5))))</f>
        <v>0.36415838829131725</v>
      </c>
      <c r="E260" s="12">
        <f>IF('Panel Dataset'!D245&gt;=$D$6,1/(1+EXP(-(LN(19)/($E$6-$D$6))*('Panel Dataset'!D245-$D$6))),1/(1+EXP(-(LN(19)/($D$6-$C$6))*('Panel Dataset'!D245-$D$6))))</f>
        <v>0.45619956912811821</v>
      </c>
      <c r="F260" s="12">
        <f>IF('Panel Dataset'!E245&gt;=$D$7,1/(1+EXP(-(LN(19)/($E$7-$D$7))*('Panel Dataset'!E245-$D$7))),1/(1+EXP(-(LN(19)/($D$7-$C$7))*('Panel Dataset'!E245-$D$7))))</f>
        <v>0.6648843007128391</v>
      </c>
      <c r="G260" s="12">
        <f>IF('Panel Dataset'!F245&gt;=$D$8,1/(1+EXP(-(LN(19)/($E$8-$D$8))*('Panel Dataset'!F245-$D$8))),1/(1+EXP(-(LN(19)/($D$8-$C$8))*('Panel Dataset'!F245-$D$8))))</f>
        <v>0.1840882701240186</v>
      </c>
      <c r="H260" s="12">
        <f>IF('Panel Dataset'!G245&gt;=$D$9,1/(1+EXP(-(LN(19)/($E$9-$D$9))*('Panel Dataset'!G245-$D$9))),1/(1+EXP(-(LN(19)/($D$9-$C$9))*('Panel Dataset'!G245-$D$9))))</f>
        <v>0.333868460510647</v>
      </c>
      <c r="I260" s="12">
        <f>IF('Panel Dataset'!H245&gt;=$D$10,1/(1+EXP(-(LN(19)/($E$10-$D$10))*('Panel Dataset'!H245-$D$10))),1/(1+EXP(-(LN(19)/($D$10-$C$10))*('Panel Dataset'!H245-$D$10))))</f>
        <v>0.21557141359397033</v>
      </c>
      <c r="J260" s="12">
        <f>IF('Panel Dataset'!I245&gt;=$D$11,1/(1+EXP(-(LN(19)/($E$11-$D$11))*('Panel Dataset'!I245-$D$11))),1/(1+EXP(-(LN(19)/($D$11-$C$11))*('Panel Dataset'!I245-$D$11))))</f>
        <v>0.25313468936347944</v>
      </c>
    </row>
    <row r="261" spans="2:10" x14ac:dyDescent="0.3">
      <c r="B261" s="7" t="str">
        <f>'Panel Dataset'!A246</f>
        <v>Western Digital</v>
      </c>
      <c r="C261" s="7">
        <f>'Panel Dataset'!B246</f>
        <v>2019</v>
      </c>
      <c r="D261" s="12">
        <f>IF('Panel Dataset'!C246&gt;=$D$5,1/(1+EXP(-(LN(19)/($E$5-$D$5))*('Panel Dataset'!C246-$D$5))),1/(1+EXP(-(LN(19)/($D$5-$C$5))*('Panel Dataset'!C246-$D$5))))</f>
        <v>0.46963576449330208</v>
      </c>
      <c r="E261" s="12">
        <f>IF('Panel Dataset'!D246&gt;=$D$6,1/(1+EXP(-(LN(19)/($E$6-$D$6))*('Panel Dataset'!D246-$D$6))),1/(1+EXP(-(LN(19)/($D$6-$C$6))*('Panel Dataset'!D246-$D$6))))</f>
        <v>0.47268286254097353</v>
      </c>
      <c r="F261" s="12">
        <f>IF('Panel Dataset'!E246&gt;=$D$7,1/(1+EXP(-(LN(19)/($E$7-$D$7))*('Panel Dataset'!E246-$D$7))),1/(1+EXP(-(LN(19)/($D$7-$C$7))*('Panel Dataset'!E246-$D$7))))</f>
        <v>0.80077869426566717</v>
      </c>
      <c r="G261" s="12">
        <f>IF('Panel Dataset'!F246&gt;=$D$8,1/(1+EXP(-(LN(19)/($E$8-$D$8))*('Panel Dataset'!F246-$D$8))),1/(1+EXP(-(LN(19)/($D$8-$C$8))*('Panel Dataset'!F246-$D$8))))</f>
        <v>0.34251949309976748</v>
      </c>
      <c r="H261" s="12">
        <f>IF('Panel Dataset'!G246&gt;=$D$9,1/(1+EXP(-(LN(19)/($E$9-$D$9))*('Panel Dataset'!G246-$D$9))),1/(1+EXP(-(LN(19)/($D$9-$C$9))*('Panel Dataset'!G246-$D$9))))</f>
        <v>0.45750882004057231</v>
      </c>
      <c r="I261" s="12">
        <f>IF('Panel Dataset'!H246&gt;=$D$10,1/(1+EXP(-(LN(19)/($E$10-$D$10))*('Panel Dataset'!H246-$D$10))),1/(1+EXP(-(LN(19)/($D$10-$C$10))*('Panel Dataset'!H246-$D$10))))</f>
        <v>0.3840215934819825</v>
      </c>
      <c r="J261" s="12">
        <f>IF('Panel Dataset'!I246&gt;=$D$11,1/(1+EXP(-(LN(19)/($E$11-$D$11))*('Panel Dataset'!I246-$D$11))),1/(1+EXP(-(LN(19)/($D$11-$C$11))*('Panel Dataset'!I246-$D$11))))</f>
        <v>0.53814766906680966</v>
      </c>
    </row>
    <row r="262" spans="2:10" x14ac:dyDescent="0.3">
      <c r="B262" s="7" t="str">
        <f>'Panel Dataset'!A247</f>
        <v>Western Digital</v>
      </c>
      <c r="C262" s="7">
        <f>'Panel Dataset'!B247</f>
        <v>2020</v>
      </c>
      <c r="D262" s="12">
        <f>IF('Panel Dataset'!C247&gt;=$D$5,1/(1+EXP(-(LN(19)/($E$5-$D$5))*('Panel Dataset'!C247-$D$5))),1/(1+EXP(-(LN(19)/($D$5-$C$5))*('Panel Dataset'!C247-$D$5))))</f>
        <v>0.72852094893052288</v>
      </c>
      <c r="E262" s="12">
        <f>IF('Panel Dataset'!D247&gt;=$D$6,1/(1+EXP(-(LN(19)/($E$6-$D$6))*('Panel Dataset'!D247-$D$6))),1/(1+EXP(-(LN(19)/($D$6-$C$6))*('Panel Dataset'!D247-$D$6))))</f>
        <v>0.75587600267378441</v>
      </c>
      <c r="F262" s="12">
        <f>IF('Panel Dataset'!E247&gt;=$D$7,1/(1+EXP(-(LN(19)/($E$7-$D$7))*('Panel Dataset'!E247-$D$7))),1/(1+EXP(-(LN(19)/($D$7-$C$7))*('Panel Dataset'!E247-$D$7))))</f>
        <v>0.75812570718410222</v>
      </c>
      <c r="G262" s="12">
        <f>IF('Panel Dataset'!F247&gt;=$D$8,1/(1+EXP(-(LN(19)/($E$8-$D$8))*('Panel Dataset'!F247-$D$8))),1/(1+EXP(-(LN(19)/($D$8-$C$8))*('Panel Dataset'!F247-$D$8))))</f>
        <v>0.61721013459266261</v>
      </c>
      <c r="H262" s="12">
        <f>IF('Panel Dataset'!G247&gt;=$D$9,1/(1+EXP(-(LN(19)/($E$9-$D$9))*('Panel Dataset'!G247-$D$9))),1/(1+EXP(-(LN(19)/($D$9-$C$9))*('Panel Dataset'!G247-$D$9))))</f>
        <v>0.73836299304551534</v>
      </c>
      <c r="I262" s="12">
        <f>IF('Panel Dataset'!H247&gt;=$D$10,1/(1+EXP(-(LN(19)/($E$10-$D$10))*('Panel Dataset'!H247-$D$10))),1/(1+EXP(-(LN(19)/($D$10-$C$10))*('Panel Dataset'!H247-$D$10))))</f>
        <v>0.5545225546515451</v>
      </c>
      <c r="J262" s="12">
        <f>IF('Panel Dataset'!I247&gt;=$D$11,1/(1+EXP(-(LN(19)/($E$11-$D$11))*('Panel Dataset'!I247-$D$11))),1/(1+EXP(-(LN(19)/($D$11-$C$11))*('Panel Dataset'!I247-$D$11))))</f>
        <v>0.39937883675118524</v>
      </c>
    </row>
    <row r="263" spans="2:10" x14ac:dyDescent="0.3">
      <c r="B263" s="7" t="str">
        <f>'Panel Dataset'!A248</f>
        <v>Western Digital</v>
      </c>
      <c r="C263" s="7">
        <f>'Panel Dataset'!B248</f>
        <v>2021</v>
      </c>
      <c r="D263" s="12">
        <f>IF('Panel Dataset'!C248&gt;=$D$5,1/(1+EXP(-(LN(19)/($E$5-$D$5))*('Panel Dataset'!C248-$D$5))),1/(1+EXP(-(LN(19)/($D$5-$C$5))*('Panel Dataset'!C248-$D$5))))</f>
        <v>0.8617524470333896</v>
      </c>
      <c r="E263" s="12">
        <f>IF('Panel Dataset'!D248&gt;=$D$6,1/(1+EXP(-(LN(19)/($E$6-$D$6))*('Panel Dataset'!D248-$D$6))),1/(1+EXP(-(LN(19)/($D$6-$C$6))*('Panel Dataset'!D248-$D$6))))</f>
        <v>0.79250150182304047</v>
      </c>
      <c r="F263" s="12">
        <f>IF('Panel Dataset'!E248&gt;=$D$7,1/(1+EXP(-(LN(19)/($E$7-$D$7))*('Panel Dataset'!E248-$D$7))),1/(1+EXP(-(LN(19)/($D$7-$C$7))*('Panel Dataset'!E248-$D$7))))</f>
        <v>0.85206384478876873</v>
      </c>
      <c r="G263" s="12">
        <f>IF('Panel Dataset'!F248&gt;=$D$8,1/(1+EXP(-(LN(19)/($E$8-$D$8))*('Panel Dataset'!F248-$D$8))),1/(1+EXP(-(LN(19)/($D$8-$C$8))*('Panel Dataset'!F248-$D$8))))</f>
        <v>0.74316669103544741</v>
      </c>
      <c r="H263" s="12">
        <f>IF('Panel Dataset'!G248&gt;=$D$9,1/(1+EXP(-(LN(19)/($E$9-$D$9))*('Panel Dataset'!G248-$D$9))),1/(1+EXP(-(LN(19)/($D$9-$C$9))*('Panel Dataset'!G248-$D$9))))</f>
        <v>0.79519564822882116</v>
      </c>
      <c r="I263" s="12">
        <f>IF('Panel Dataset'!H248&gt;=$D$10,1/(1+EXP(-(LN(19)/($E$10-$D$10))*('Panel Dataset'!H248-$D$10))),1/(1+EXP(-(LN(19)/($D$10-$C$10))*('Panel Dataset'!H248-$D$10))))</f>
        <v>0.86571389140658794</v>
      </c>
      <c r="J263" s="12">
        <f>IF('Panel Dataset'!I248&gt;=$D$11,1/(1+EXP(-(LN(19)/($E$11-$D$11))*('Panel Dataset'!I248-$D$11))),1/(1+EXP(-(LN(19)/($D$11-$C$11))*('Panel Dataset'!I248-$D$11))))</f>
        <v>0.84646806574850886</v>
      </c>
    </row>
    <row r="264" spans="2:10" x14ac:dyDescent="0.3">
      <c r="B264" s="7" t="str">
        <f>'Panel Dataset'!A249</f>
        <v>Western Digital</v>
      </c>
      <c r="C264" s="7">
        <f>'Panel Dataset'!B249</f>
        <v>2022</v>
      </c>
      <c r="D264" s="12">
        <f>IF('Panel Dataset'!C249&gt;=$D$5,1/(1+EXP(-(LN(19)/($E$5-$D$5))*('Panel Dataset'!C249-$D$5))),1/(1+EXP(-(LN(19)/($D$5-$C$5))*('Panel Dataset'!C249-$D$5))))</f>
        <v>0.90747240339315005</v>
      </c>
      <c r="E264" s="12">
        <f>IF('Panel Dataset'!D249&gt;=$D$6,1/(1+EXP(-(LN(19)/($E$6-$D$6))*('Panel Dataset'!D249-$D$6))),1/(1+EXP(-(LN(19)/($D$6-$C$6))*('Panel Dataset'!D249-$D$6))))</f>
        <v>0.89940157201218318</v>
      </c>
      <c r="F264" s="12">
        <f>IF('Panel Dataset'!E249&gt;=$D$7,1/(1+EXP(-(LN(19)/($E$7-$D$7))*('Panel Dataset'!E249-$D$7))),1/(1+EXP(-(LN(19)/($D$7-$C$7))*('Panel Dataset'!E249-$D$7))))</f>
        <v>0.9205071974427399</v>
      </c>
      <c r="G264" s="12">
        <f>IF('Panel Dataset'!F249&gt;=$D$8,1/(1+EXP(-(LN(19)/($E$8-$D$8))*('Panel Dataset'!F249-$D$8))),1/(1+EXP(-(LN(19)/($D$8-$C$8))*('Panel Dataset'!F249-$D$8))))</f>
        <v>0.78806251382449688</v>
      </c>
      <c r="H264" s="12">
        <f>IF('Panel Dataset'!G249&gt;=$D$9,1/(1+EXP(-(LN(19)/($E$9-$D$9))*('Panel Dataset'!G249-$D$9))),1/(1+EXP(-(LN(19)/($D$9-$C$9))*('Panel Dataset'!G249-$D$9))))</f>
        <v>0.77302865970302714</v>
      </c>
      <c r="I264" s="12">
        <f>IF('Panel Dataset'!H249&gt;=$D$10,1/(1+EXP(-(LN(19)/($E$10-$D$10))*('Panel Dataset'!H249-$D$10))),1/(1+EXP(-(LN(19)/($D$10-$C$10))*('Panel Dataset'!H249-$D$10))))</f>
        <v>0.93049018355573765</v>
      </c>
      <c r="J264" s="12">
        <f>IF('Panel Dataset'!I249&gt;=$D$11,1/(1+EXP(-(LN(19)/($E$11-$D$11))*('Panel Dataset'!I249-$D$11))),1/(1+EXP(-(LN(19)/($D$11-$C$11))*('Panel Dataset'!I249-$D$11))))</f>
        <v>0.86654756748382256</v>
      </c>
    </row>
    <row r="265" spans="2:10" x14ac:dyDescent="0.3">
      <c r="B265" s="7" t="str">
        <f>'Panel Dataset'!A250</f>
        <v>Western Digital</v>
      </c>
      <c r="C265" s="7">
        <f>'Panel Dataset'!B250</f>
        <v>2023</v>
      </c>
      <c r="D265" s="12">
        <f>IF('Panel Dataset'!C250&gt;=$D$5,1/(1+EXP(-(LN(19)/($E$5-$D$5))*('Panel Dataset'!C250-$D$5))),1/(1+EXP(-(LN(19)/($D$5-$C$5))*('Panel Dataset'!C250-$D$5))))</f>
        <v>0.94960542062752051</v>
      </c>
      <c r="E265" s="12">
        <f>IF('Panel Dataset'!D250&gt;=$D$6,1/(1+EXP(-(LN(19)/($E$6-$D$6))*('Panel Dataset'!D250-$D$6))),1/(1+EXP(-(LN(19)/($D$6-$C$6))*('Panel Dataset'!D250-$D$6))))</f>
        <v>0.95293326718273519</v>
      </c>
      <c r="F265" s="12">
        <f>IF('Panel Dataset'!E250&gt;=$D$7,1/(1+EXP(-(LN(19)/($E$7-$D$7))*('Panel Dataset'!E250-$D$7))),1/(1+EXP(-(LN(19)/($D$7-$C$7))*('Panel Dataset'!E250-$D$7))))</f>
        <v>0.91994536048686326</v>
      </c>
      <c r="G265" s="12">
        <f>IF('Panel Dataset'!F250&gt;=$D$8,1/(1+EXP(-(LN(19)/($E$8-$D$8))*('Panel Dataset'!F250-$D$8))),1/(1+EXP(-(LN(19)/($D$8-$C$8))*('Panel Dataset'!F250-$D$8))))</f>
        <v>0.85571027743795491</v>
      </c>
      <c r="H265" s="12">
        <f>IF('Panel Dataset'!G250&gt;=$D$9,1/(1+EXP(-(LN(19)/($E$9-$D$9))*('Panel Dataset'!G250-$D$9))),1/(1+EXP(-(LN(19)/($D$9-$C$9))*('Panel Dataset'!G250-$D$9))))</f>
        <v>0.85499704367447948</v>
      </c>
      <c r="I265" s="12">
        <f>IF('Panel Dataset'!H250&gt;=$D$10,1/(1+EXP(-(LN(19)/($E$10-$D$10))*('Panel Dataset'!H250-$D$10))),1/(1+EXP(-(LN(19)/($D$10-$C$10))*('Panel Dataset'!H250-$D$10))))</f>
        <v>0.95947090758445686</v>
      </c>
      <c r="J265" s="12">
        <f>IF('Panel Dataset'!I250&gt;=$D$11,1/(1+EXP(-(LN(19)/($E$11-$D$11))*('Panel Dataset'!I250-$D$11))),1/(1+EXP(-(LN(19)/($D$11-$C$11))*('Panel Dataset'!I250-$D$11))))</f>
        <v>0.87824860450316711</v>
      </c>
    </row>
    <row r="266" spans="2:10" x14ac:dyDescent="0.3">
      <c r="B266" s="7" t="str">
        <f>'Panel Dataset'!A251</f>
        <v>Western Digital</v>
      </c>
      <c r="C266" s="7">
        <f>'Panel Dataset'!B251</f>
        <v>2024</v>
      </c>
      <c r="D266" s="12">
        <f>IF('Panel Dataset'!C251&gt;=$D$5,1/(1+EXP(-(LN(19)/($E$5-$D$5))*('Panel Dataset'!C251-$D$5))),1/(1+EXP(-(LN(19)/($D$5-$C$5))*('Panel Dataset'!C251-$D$5))))</f>
        <v>0.9549346539903848</v>
      </c>
      <c r="E266" s="12">
        <f>IF('Panel Dataset'!D251&gt;=$D$6,1/(1+EXP(-(LN(19)/($E$6-$D$6))*('Panel Dataset'!D251-$D$6))),1/(1+EXP(-(LN(19)/($D$6-$C$6))*('Panel Dataset'!D251-$D$6))))</f>
        <v>0.96039511618390183</v>
      </c>
      <c r="F266" s="12">
        <f>IF('Panel Dataset'!E251&gt;=$D$7,1/(1+EXP(-(LN(19)/($E$7-$D$7))*('Panel Dataset'!E251-$D$7))),1/(1+EXP(-(LN(19)/($D$7-$C$7))*('Panel Dataset'!E251-$D$7))))</f>
        <v>0.96894297180017186</v>
      </c>
      <c r="G266" s="12">
        <f>IF('Panel Dataset'!F251&gt;=$D$8,1/(1+EXP(-(LN(19)/($E$8-$D$8))*('Panel Dataset'!F251-$D$8))),1/(1+EXP(-(LN(19)/($D$8-$C$8))*('Panel Dataset'!F251-$D$8))))</f>
        <v>0.84333675283675069</v>
      </c>
      <c r="H266" s="12">
        <f>IF('Panel Dataset'!G251&gt;=$D$9,1/(1+EXP(-(LN(19)/($E$9-$D$9))*('Panel Dataset'!G251-$D$9))),1/(1+EXP(-(LN(19)/($D$9-$C$9))*('Panel Dataset'!G251-$D$9))))</f>
        <v>0.93294013093891259</v>
      </c>
      <c r="I266" s="12">
        <f>IF('Panel Dataset'!H251&gt;=$D$10,1/(1+EXP(-(LN(19)/($E$10-$D$10))*('Panel Dataset'!H251-$D$10))),1/(1+EXP(-(LN(19)/($D$10-$C$10))*('Panel Dataset'!H251-$D$10))))</f>
        <v>0.95791929492988726</v>
      </c>
      <c r="J266" s="12">
        <f>IF('Panel Dataset'!I251&gt;=$D$11,1/(1+EXP(-(LN(19)/($E$11-$D$11))*('Panel Dataset'!I251-$D$11))),1/(1+EXP(-(LN(19)/($D$11-$C$11))*('Panel Dataset'!I251-$D$11))))</f>
        <v>0.96497283314639937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Panel Dataset</vt:lpstr>
      <vt:lpstr>Fuzzy 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Raghav Mahajan</cp:lastModifiedBy>
  <cp:revision>0</cp:revision>
  <dcterms:created xsi:type="dcterms:W3CDTF">2026-09-19T09:05:34Z</dcterms:created>
  <dcterms:modified xsi:type="dcterms:W3CDTF">2026-09-20T11:07:35Z</dcterms:modified>
  <dc:language>en-US</dc:language>
</cp:coreProperties>
</file>