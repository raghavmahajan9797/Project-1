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irm-Level Dataset" sheetId="2" state="visible" r:id="rId4"/>
    <sheet name="Fuzzy Calibration" sheetId="3" state="visible" r:id="rId5"/>
    <sheet name="Near-Crossover Flags" sheetId="4" state="visible" r:id="rId6"/>
    <sheet name="Change Log &amp; Justific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<sst xmlns="http://schemas.openxmlformats.org/spreadsheetml/2006/main" count="185" uniqueCount="138">
  <si>
    <t xml:space="preserve">Corrected &amp; Restructured fsQCA Dataset</t>
  </si>
  <si>
    <t xml:space="preserve">Supply Chain Resilience in Semiconductor Firms — Methodological Demonstration</t>
  </si>
  <si>
    <t xml:space="preserve">IMPORTANT — ACADEMIC INTEGRITY NOTICE</t>
  </si>
  <si>
    <t xml:space="preserve">This workbook contains SIMULATED values for 5 of 6 causal conditions and for the outcome (Supply Chain Resilience), generated to demonstrate what a properly varying, methodologically sound fsQCA dataset would look like. These simulated figures are NOT real observations.</t>
  </si>
  <si>
    <t xml:space="preserve">Do NOT present this data as empirical findings in a published paper or thesis. Doing so would constitute data fabrication. Use this workbook only as: (a) a template showing the target structure and variance a real dataset needs, or (b) a guide for what to re-measure / re-collect in the field.</t>
  </si>
  <si>
    <t xml:space="preserve">WHAT WAS WRONG WITH THE ORIGINAL DATASET</t>
  </si>
  <si>
    <t xml:space="preserve">1. Cases were firm-years (n=125), but 5 of 6 conditions never changed within a firm across the 5 years -&gt; effectively only ~25 independent cases repeated 5x each (pseudo-replication).</t>
  </si>
  <si>
    <t xml:space="preserve">2. AI Governance, Sustainable Sourcing, Digital Visibility, Supplier Collaboration and Supplier Diversification varied by only ~0.03-0.04 units across all 25 firms -&gt; almost no real between-firm differentiation.</t>
  </si>
  <si>
    <t xml:space="preserve">3. The outcome (SC_Resilience) varied almost entirely WITHIN firms across years (real signal) but had ~zero variance BETWEEN firms -&gt; collapsing straight to firm-level would have erased nearly all outcome variation.</t>
  </si>
  <si>
    <t xml:space="preserve">4. Combined with (2), fuzzy scores clustered right at the 0.50 crossover for many firms, making the 0/1 truth-table coding for those firms essentially arbitrary.</t>
  </si>
  <si>
    <t xml:space="preserve">5. Result: only 8 of 64 possible configurations were empirically observed, with 80% of cases packed into just 2 configurations, and only 5 of 25 real firms were behaviourally distinct.</t>
  </si>
  <si>
    <t xml:space="preserve">WHAT WAS CHANGED</t>
  </si>
  <si>
    <t xml:space="preserve">- Case structure: restructured from 125 firm-years to 25 firm-level cases (see 'Firm-Level Dataset').</t>
  </si>
  <si>
    <t xml:space="preserve">- 5 flat conditions: original (weak) rank order was preserved, then stretched into a realistic, theoretically plausible spread (see 'Change Log' for exact formula and seed).</t>
  </si>
  <si>
    <t xml:space="preserve">- Outcome (SC_Resilience): reconstructed at firm level as a moderate, noisy function of the six conditions, since the original firm-level outcome had almost no cross-firm variance to work with.</t>
  </si>
  <si>
    <t xml:space="preserve">- AI Capability: kept as-is (averaged across years) — this was the one condition with genuine, real variation in the original data.</t>
  </si>
  <si>
    <t xml:space="preserve">- Calibration: switched from raw-sample-percentile anchors to a theory-based rule (mean ± 1.5 SD for full non-membership / full membership, sample mean as crossover) — see 'Fuzzy Calibration'.</t>
  </si>
  <si>
    <t xml:space="preserve">- Near-crossover firms (fuzzy score within 0.45-0.55 on any condition) are flagged separately for manual review rather than being silently force-coded.</t>
  </si>
  <si>
    <t xml:space="preserve">HOW TO READ THE COLOR CODES</t>
  </si>
  <si>
    <t xml:space="preserve">Black text = original data (aggregated from real firm-year records, e.g. AI Capability).</t>
  </si>
  <si>
    <t xml:space="preserve">Blue text = simulated / adjusted values (illustrative only — see notice above).</t>
  </si>
  <si>
    <t xml:space="preserve">Company</t>
  </si>
  <si>
    <t xml:space="preserve">Ticker</t>
  </si>
  <si>
    <t xml:space="preserve">Subsector</t>
  </si>
  <si>
    <t xml:space="preserve">AI_Governance</t>
  </si>
  <si>
    <t xml:space="preserve">AI_Capability</t>
  </si>
  <si>
    <t xml:space="preserve">Sustainable_Sourcing</t>
  </si>
  <si>
    <t xml:space="preserve">Digital_Visibility</t>
  </si>
  <si>
    <t xml:space="preserve">Supplier_Collaboration</t>
  </si>
  <si>
    <t xml:space="preserve">Supplier_Diversification</t>
  </si>
  <si>
    <t xml:space="preserve">SC_Resilience</t>
  </si>
  <si>
    <t xml:space="preserve">-</t>
  </si>
  <si>
    <t xml:space="preserve">SIM</t>
  </si>
  <si>
    <t xml:space="preserve">ORIG (avg 5yr)</t>
  </si>
  <si>
    <t xml:space="preserve">ASML Holding N.V.</t>
  </si>
  <si>
    <t xml:space="preserve">ASML</t>
  </si>
  <si>
    <t xml:space="preserve">Equipment</t>
  </si>
  <si>
    <t xml:space="preserve">Advanced Micro Devices</t>
  </si>
  <si>
    <t xml:space="preserve">AMD</t>
  </si>
  <si>
    <t xml:space="preserve">Fabless</t>
  </si>
  <si>
    <t xml:space="preserve">Analog Devices</t>
  </si>
  <si>
    <t xml:space="preserve">ADI</t>
  </si>
  <si>
    <t xml:space="preserve">Analog/IDM</t>
  </si>
  <si>
    <t xml:space="preserve">Applied Materials</t>
  </si>
  <si>
    <t xml:space="preserve">AMAT</t>
  </si>
  <si>
    <t xml:space="preserve">Broadcom Inc.</t>
  </si>
  <si>
    <t xml:space="preserve">AVGO</t>
  </si>
  <si>
    <t xml:space="preserve">Infineon Technologies</t>
  </si>
  <si>
    <t xml:space="preserve">IFNNY</t>
  </si>
  <si>
    <t xml:space="preserve">Automotive/IDM</t>
  </si>
  <si>
    <t xml:space="preserve">Intel Corporation</t>
  </si>
  <si>
    <t xml:space="preserve">INTC</t>
  </si>
  <si>
    <t xml:space="preserve">IDM</t>
  </si>
  <si>
    <t xml:space="preserve">KLA Corporation</t>
  </si>
  <si>
    <t xml:space="preserve">KLAC</t>
  </si>
  <si>
    <t xml:space="preserve">Lam Research</t>
  </si>
  <si>
    <t xml:space="preserve">LRCX</t>
  </si>
  <si>
    <t xml:space="preserve">Marvell Technology</t>
  </si>
  <si>
    <t xml:space="preserve">MRVL</t>
  </si>
  <si>
    <t xml:space="preserve">Microchip Technology</t>
  </si>
  <si>
    <t xml:space="preserve">MCHP</t>
  </si>
  <si>
    <t xml:space="preserve">Micron Technology</t>
  </si>
  <si>
    <t xml:space="preserve">MU</t>
  </si>
  <si>
    <t xml:space="preserve">IDM Memory</t>
  </si>
  <si>
    <t xml:space="preserve">Monolithic Power Systems</t>
  </si>
  <si>
    <t xml:space="preserve">MPWR</t>
  </si>
  <si>
    <t xml:space="preserve">Power/Fabless</t>
  </si>
  <si>
    <t xml:space="preserve">NVIDIA Corporation</t>
  </si>
  <si>
    <t xml:space="preserve">NVDA</t>
  </si>
  <si>
    <t xml:space="preserve">NXP Semiconductors</t>
  </si>
  <si>
    <t xml:space="preserve">NXPI</t>
  </si>
  <si>
    <t xml:space="preserve">Automotive/Fabless</t>
  </si>
  <si>
    <t xml:space="preserve">ON Semiconductor</t>
  </si>
  <si>
    <t xml:space="preserve">ON</t>
  </si>
  <si>
    <t xml:space="preserve">Power/IDM</t>
  </si>
  <si>
    <t xml:space="preserve">Qorvo Inc.</t>
  </si>
  <si>
    <t xml:space="preserve">QRVO</t>
  </si>
  <si>
    <t xml:space="preserve">RF/IDM</t>
  </si>
  <si>
    <t xml:space="preserve">Qualcomm Incorporated</t>
  </si>
  <si>
    <t xml:space="preserve">QCOM</t>
  </si>
  <si>
    <t xml:space="preserve">STMicroelectronics</t>
  </si>
  <si>
    <t xml:space="preserve">STM</t>
  </si>
  <si>
    <t xml:space="preserve">Seagate Technology</t>
  </si>
  <si>
    <t xml:space="preserve">STX</t>
  </si>
  <si>
    <t xml:space="preserve">Storage/IDM</t>
  </si>
  <si>
    <t xml:space="preserve">Skyworks Solutions</t>
  </si>
  <si>
    <t xml:space="preserve">SWKS</t>
  </si>
  <si>
    <t xml:space="preserve">Taiwan Semiconductor Mfg</t>
  </si>
  <si>
    <t xml:space="preserve">TSM</t>
  </si>
  <si>
    <t xml:space="preserve">Foundry</t>
  </si>
  <si>
    <t xml:space="preserve">Teradyne Inc.</t>
  </si>
  <si>
    <t xml:space="preserve">TER</t>
  </si>
  <si>
    <t xml:space="preserve">Test Equipment</t>
  </si>
  <si>
    <t xml:space="preserve">Texas Instruments</t>
  </si>
  <si>
    <t xml:space="preserve">TXN</t>
  </si>
  <si>
    <t xml:space="preserve">Western Digital</t>
  </si>
  <si>
    <t xml:space="preserve">WDC</t>
  </si>
  <si>
    <t xml:space="preserve">Calibration Anchors (theory-based: sample mean ± 1.5 SD, NOT raw percentiles)</t>
  </si>
  <si>
    <t xml:space="preserve">Full non-membership = mean − 1.5×SD  |  Crossover = mean  |  Full membership = mean + 1.5×SD</t>
  </si>
  <si>
    <t xml:space="preserve">Condition</t>
  </si>
  <si>
    <t xml:space="preserve">Full Non-Membership (0.05)</t>
  </si>
  <si>
    <t xml:space="preserve">Crossover (0.50)</t>
  </si>
  <si>
    <t xml:space="preserve">Full Membership (0.95)</t>
  </si>
  <si>
    <t xml:space="preserve">Calibrated Fuzzy-Set Membership Scores (live formulas — direct method / log-odds)</t>
  </si>
  <si>
    <t xml:space="preserve">fz_AI_Governance</t>
  </si>
  <si>
    <t xml:space="preserve">fz_AI_Capability</t>
  </si>
  <si>
    <t xml:space="preserve">fz_Sustainable_Sourcing</t>
  </si>
  <si>
    <t xml:space="preserve">fz_Digital_Visibility</t>
  </si>
  <si>
    <t xml:space="preserve">fz_Supplier_Collaboration</t>
  </si>
  <si>
    <t xml:space="preserve">fz_Supplier_Diversification</t>
  </si>
  <si>
    <t xml:space="preserve">fz_SC_Resilience</t>
  </si>
  <si>
    <t xml:space="preserve">Firms flagged for manual review (fuzzy score within 0.45–0.55 on any condition)</t>
  </si>
  <si>
    <t xml:space="preserve">These cases sit close enough to the 0.5 crossover that their present/absent coding is fragile.</t>
  </si>
  <si>
    <t xml:space="preserve">Flagged Condition(s)</t>
  </si>
  <si>
    <t xml:space="preserve">Sustainable_Sourcing, Supplier_Diversification</t>
  </si>
  <si>
    <t xml:space="preserve">Sustainable_Sourcing, Digital_Visibility, Supplier_Diversification</t>
  </si>
  <si>
    <t xml:space="preserve">AI_Governance, Digital_Visibility</t>
  </si>
  <si>
    <t xml:space="preserve">AI_Governance, Digital_Visibility, Supplier_Collaboration</t>
  </si>
  <si>
    <t xml:space="preserve">AI_Governance, Supplier_Collaboration</t>
  </si>
  <si>
    <t xml:space="preserve">Change Log &amp; Justification</t>
  </si>
  <si>
    <t xml:space="preserve">Change</t>
  </si>
  <si>
    <t xml:space="preserve">Justification</t>
  </si>
  <si>
    <t xml:space="preserve">Case restructuring</t>
  </si>
  <si>
    <t xml:space="preserve">Changed unit of analysis from 125 firm-year observations to 25 firm-level cases. Rationale: 5 of 6 conditions were constant within each firm across all 5 years (std = 0), so treating firm-years as independent cases counted the same causal profile up to 5 times, inflating truth-table frequencies and violating the independence assumption underlying fsQCA.</t>
  </si>
  <si>
    <t xml:space="preserve">AI_Governance / Sustainable_Sourcing / Digital_Visibility / Supplier_Collaboration / Supplier_Diversification — simulated</t>
  </si>
  <si>
    <t xml:space="preserve">Original values ranged only ~0.03–0.04 units across all 25 firms (no meaningful between-firm variance). Simulated by: (1) ranking the 25 firms on their original (near-tied) raw value to preserve whatever weak ordinal signal existed, (2) mapping each rank to a normal z-score via the inverse-CDF, (3) rescaling as new_value = original_mean + 0.65×z. This keeps each condition centered at its original sample mean but injects a realistic standard deviation (~0.65, vs. the original ~0.01). Random seed = 42 (NumPy), fully reproducible. THESE ARE SIMULATED, NOT REAL VALUES.</t>
  </si>
  <si>
    <t xml:space="preserve">AI_Capability — kept, aggregated</t>
  </si>
  <si>
    <t xml:space="preserve">This condition had genuine variation both across firms and across years in the original data (firm-level SD ≈ 0.20, range 5.67–6.28). No simulation applied — the firm-level value is simply the mean of each firm's 5 annual observations.</t>
  </si>
  <si>
    <t xml:space="preserve">SC_Resilience (outcome) — simulated</t>
  </si>
  <si>
    <t xml:space="preserve">The original outcome varied almost entirely WITHIN firms across years (year-to-year change) but had almost zero variance BETWEEN firms (firm-level SD ≈ 0.007) — i.e., averaging the real data across years would have produced an almost-constant outcome with no cross-firm signal to test sufficiency against. Reconstructed as: SC_Resilience = sample_mean + 0.35 × (weighted average of the six standardized conditions) + random noise (SD 0.30, seed 42). Weights (0.10–0.15) reflect a moderate, theoretically plausible — not engineered-for-significance — relationship in the direction the paper's framework proposes. THIS IS SIMULATED, NOT A REAL EMPIRICAL RESULT, and must not be reported as such.</t>
  </si>
  <si>
    <t xml:space="preserve">Calibration method</t>
  </si>
  <si>
    <t xml:space="preserve">Switched from raw-sample-percentile anchors (5th/50th/95th percentile of a highly compressed distribution, which produced arbitrary 0.501-type scores) to a theory-based rule: crossover = sample mean, full membership/non-membership = mean ± 1.5 SD. This is a standard alternative recommended in the QCA literature when no external substantive benchmark is available (Basurto &amp; Speer, 2012). Direct log-odds transformation formula retained (Ragin, 2008).</t>
  </si>
  <si>
    <t xml:space="preserve">Near-crossover flags</t>
  </si>
  <si>
    <t xml:space="preserve">Any firm with a fuzzy score between 0.45 and 0.55 on any condition is listed on the 'Near-Crossover Flags' sheet rather than being silently force-coded — for manual review before finalizing the truth table.</t>
  </si>
  <si>
    <t xml:space="preserve">Condition count</t>
  </si>
  <si>
    <t xml:space="preserve">6 conditions were retained relative to 25 cases, which is at the upper edge of typical guidance (≈4–6 conditions per ~25–30 cases). Not reduced here since the user's paper framework specifies all six; flagged as a residual limitation to consider (e.g., merging conceptually related conditions) if diversity remains limited after recalibration.</t>
  </si>
  <si>
    <t xml:space="preserve">Result of these changes (for reference only)</t>
  </si>
  <si>
    <t xml:space="preserve">Re-running the truth-table procedure on this corrected structure yields 12 distinct configurations among the 25 firms (vs. 5 distinct profiles in the original 25-firm data), with no single configuration accounting for more than 5 of 25 cases — materially better diversity than the original dataset produced.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</si>
</sst>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4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7.5" hidden="false" customHeight="true" outlineLevel="0" collapsed="false">
      <c r="B5" s="3"/>
      <c r="C5" s="3"/>
      <c r="D5" s="3"/>
      <c r="E5" s="3"/>
      <c r="F5" s="3"/>
      <c r="G5" s="3"/>
      <c r="H5" s="3"/>
      <c r="I5" s="3"/>
    </row>
    <row r="6" customFormat="false" ht="21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</row>
    <row r="7" customFormat="false" ht="51" hidden="false" customHeight="true" outlineLevel="0" collapsed="false">
      <c r="B7" s="3" t="s">
        <v>3</v>
      </c>
      <c r="C7" s="3"/>
      <c r="D7" s="3"/>
      <c r="E7" s="3"/>
      <c r="F7" s="3"/>
      <c r="G7" s="3"/>
      <c r="H7" s="3"/>
      <c r="I7" s="3"/>
    </row>
    <row r="8" customFormat="false" ht="51" hidden="false" customHeight="true" outlineLevel="0" collapsed="false">
      <c r="B8" s="3" t="s">
        <v>4</v>
      </c>
      <c r="C8" s="3"/>
      <c r="D8" s="3"/>
      <c r="E8" s="3"/>
      <c r="F8" s="3"/>
      <c r="G8" s="3"/>
      <c r="H8" s="3"/>
      <c r="I8" s="3"/>
    </row>
    <row r="9" customFormat="false" ht="7.5" hidden="false" customHeight="true" outlineLevel="0" collapsed="false">
      <c r="B9" s="3"/>
      <c r="C9" s="3"/>
      <c r="D9" s="3"/>
      <c r="E9" s="3"/>
      <c r="F9" s="3"/>
      <c r="G9" s="3"/>
      <c r="H9" s="3"/>
      <c r="I9" s="3"/>
    </row>
    <row r="10" customFormat="false" ht="21" hidden="false" customHeight="true" outlineLevel="0" collapsed="false">
      <c r="B10" s="5" t="s">
        <v>5</v>
      </c>
      <c r="C10" s="5"/>
      <c r="D10" s="5"/>
      <c r="E10" s="5"/>
      <c r="F10" s="5"/>
      <c r="G10" s="5"/>
      <c r="H10" s="5"/>
      <c r="I10" s="5"/>
    </row>
    <row r="11" customFormat="false" ht="36" hidden="false" customHeight="true" outlineLevel="0" collapsed="false">
      <c r="B11" s="3" t="s">
        <v>6</v>
      </c>
      <c r="C11" s="3"/>
      <c r="D11" s="3"/>
      <c r="E11" s="3"/>
      <c r="F11" s="3"/>
      <c r="G11" s="3"/>
      <c r="H11" s="3"/>
      <c r="I11" s="3"/>
    </row>
    <row r="12" customFormat="false" ht="51" hidden="false" customHeight="true" outlineLevel="0" collapsed="false">
      <c r="B12" s="3" t="s">
        <v>7</v>
      </c>
      <c r="C12" s="3"/>
      <c r="D12" s="3"/>
      <c r="E12" s="3"/>
      <c r="F12" s="3"/>
      <c r="G12" s="3"/>
      <c r="H12" s="3"/>
      <c r="I12" s="3"/>
    </row>
    <row r="13" customFormat="false" ht="51" hidden="false" customHeight="true" outlineLevel="0" collapsed="false">
      <c r="B13" s="3" t="s">
        <v>8</v>
      </c>
      <c r="C13" s="3"/>
      <c r="D13" s="3"/>
      <c r="E13" s="3"/>
      <c r="F13" s="3"/>
      <c r="G13" s="3"/>
      <c r="H13" s="3"/>
      <c r="I13" s="3"/>
    </row>
    <row r="14" customFormat="false" ht="36" hidden="false" customHeight="true" outlineLevel="0" collapsed="false">
      <c r="B14" s="3" t="s">
        <v>9</v>
      </c>
      <c r="C14" s="3"/>
      <c r="D14" s="3"/>
      <c r="E14" s="3"/>
      <c r="F14" s="3"/>
      <c r="G14" s="3"/>
      <c r="H14" s="3"/>
      <c r="I14" s="3"/>
    </row>
    <row r="15" customFormat="false" ht="36" hidden="false" customHeight="true" outlineLevel="0" collapsed="false">
      <c r="B15" s="3" t="s">
        <v>10</v>
      </c>
      <c r="C15" s="3"/>
      <c r="D15" s="3"/>
      <c r="E15" s="3"/>
      <c r="F15" s="3"/>
      <c r="G15" s="3"/>
      <c r="H15" s="3"/>
      <c r="I15" s="3"/>
    </row>
    <row r="16" customFormat="false" ht="7.5" hidden="false" customHeight="true" outlineLevel="0" collapsed="false">
      <c r="B16" s="3"/>
      <c r="C16" s="3"/>
      <c r="D16" s="3"/>
      <c r="E16" s="3"/>
      <c r="F16" s="3"/>
      <c r="G16" s="3"/>
      <c r="H16" s="3"/>
      <c r="I16" s="3"/>
    </row>
    <row r="17" customFormat="false" ht="21" hidden="false" customHeight="true" outlineLevel="0" collapsed="false">
      <c r="B17" s="5" t="s">
        <v>11</v>
      </c>
      <c r="C17" s="5"/>
      <c r="D17" s="5"/>
      <c r="E17" s="5"/>
      <c r="F17" s="5"/>
      <c r="G17" s="5"/>
      <c r="H17" s="5"/>
      <c r="I17" s="5"/>
    </row>
    <row r="18" customFormat="false" ht="21" hidden="false" customHeight="true" outlineLevel="0" collapsed="false">
      <c r="B18" s="3" t="s">
        <v>12</v>
      </c>
      <c r="C18" s="3"/>
      <c r="D18" s="3"/>
      <c r="E18" s="3"/>
      <c r="F18" s="3"/>
      <c r="G18" s="3"/>
      <c r="H18" s="3"/>
      <c r="I18" s="3"/>
    </row>
    <row r="19" customFormat="false" ht="36" hidden="false" customHeight="true" outlineLevel="0" collapsed="false">
      <c r="B19" s="3" t="s">
        <v>13</v>
      </c>
      <c r="C19" s="3"/>
      <c r="D19" s="3"/>
      <c r="E19" s="3"/>
      <c r="F19" s="3"/>
      <c r="G19" s="3"/>
      <c r="H19" s="3"/>
      <c r="I19" s="3"/>
    </row>
    <row r="20" customFormat="false" ht="36" hidden="false" customHeight="true" outlineLevel="0" collapsed="false">
      <c r="B20" s="3" t="s">
        <v>14</v>
      </c>
      <c r="C20" s="3"/>
      <c r="D20" s="3"/>
      <c r="E20" s="3"/>
      <c r="F20" s="3"/>
      <c r="G20" s="3"/>
      <c r="H20" s="3"/>
      <c r="I20" s="3"/>
    </row>
    <row r="21" customFormat="false" ht="36" hidden="false" customHeight="true" outlineLevel="0" collapsed="false">
      <c r="B21" s="3" t="s">
        <v>15</v>
      </c>
      <c r="C21" s="3"/>
      <c r="D21" s="3"/>
      <c r="E21" s="3"/>
      <c r="F21" s="3"/>
      <c r="G21" s="3"/>
      <c r="H21" s="3"/>
      <c r="I21" s="3"/>
    </row>
    <row r="22" customFormat="false" ht="36" hidden="false" customHeight="true" outlineLevel="0" collapsed="false">
      <c r="B22" s="3" t="s">
        <v>16</v>
      </c>
      <c r="C22" s="3"/>
      <c r="D22" s="3"/>
      <c r="E22" s="3"/>
      <c r="F22" s="3"/>
      <c r="G22" s="3"/>
      <c r="H22" s="3"/>
      <c r="I22" s="3"/>
    </row>
    <row r="23" customFormat="false" ht="36" hidden="false" customHeight="true" outlineLevel="0" collapsed="false">
      <c r="B23" s="3" t="s">
        <v>17</v>
      </c>
      <c r="C23" s="3"/>
      <c r="D23" s="3"/>
      <c r="E23" s="3"/>
      <c r="F23" s="3"/>
      <c r="G23" s="3"/>
      <c r="H23" s="3"/>
      <c r="I23" s="3"/>
    </row>
    <row r="24" customFormat="false" ht="7.5" hidden="false" customHeight="true" outlineLevel="0" collapsed="false">
      <c r="B24" s="3"/>
      <c r="C24" s="3"/>
      <c r="D24" s="3"/>
      <c r="E24" s="3"/>
      <c r="F24" s="3"/>
      <c r="G24" s="3"/>
      <c r="H24" s="3"/>
      <c r="I24" s="3"/>
    </row>
    <row r="25" customFormat="false" ht="21" hidden="false" customHeight="true" outlineLevel="0" collapsed="false">
      <c r="B25" s="5" t="s">
        <v>18</v>
      </c>
      <c r="C25" s="5"/>
      <c r="D25" s="5"/>
      <c r="E25" s="5"/>
      <c r="F25" s="5"/>
      <c r="G25" s="5"/>
      <c r="H25" s="5"/>
      <c r="I25" s="5"/>
    </row>
    <row r="26" customFormat="false" ht="21" hidden="false" customHeight="true" outlineLevel="0" collapsed="false">
      <c r="B26" s="6" t="s">
        <v>19</v>
      </c>
      <c r="C26" s="6"/>
      <c r="D26" s="6"/>
      <c r="E26" s="6"/>
      <c r="F26" s="6"/>
      <c r="G26" s="6"/>
      <c r="H26" s="6"/>
      <c r="I26" s="6"/>
    </row>
    <row r="27" customFormat="false" ht="21" hidden="false" customHeight="true" outlineLevel="0" collapsed="false">
      <c r="B27" s="7" t="s">
        <v>20</v>
      </c>
      <c r="C27" s="7"/>
      <c r="D27" s="7"/>
      <c r="E27" s="7"/>
      <c r="F27" s="7"/>
      <c r="G27" s="7"/>
      <c r="H27" s="7"/>
      <c r="I27" s="7"/>
    </row>
  </sheetData>
  <mergeCells count="25">
    <mergeCell ref="B2:H2"/>
    <mergeCell ref="B3:H3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10" min="4" style="0" width="15"/>
  </cols>
  <sheetData>
    <row r="1" customFormat="false" ht="23.85" hidden="false" customHeight="false" outlineLevel="0" collapsed="false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</row>
    <row r="2" customFormat="false" ht="15" hidden="false" customHeight="false" outlineLevel="0" collapsed="false">
      <c r="A2" s="9" t="s">
        <v>31</v>
      </c>
      <c r="B2" s="9" t="s">
        <v>31</v>
      </c>
      <c r="C2" s="9" t="s">
        <v>31</v>
      </c>
      <c r="D2" s="9" t="s">
        <v>32</v>
      </c>
      <c r="E2" s="9" t="s">
        <v>33</v>
      </c>
      <c r="F2" s="9" t="s">
        <v>32</v>
      </c>
      <c r="G2" s="9" t="s">
        <v>32</v>
      </c>
      <c r="H2" s="9" t="s">
        <v>32</v>
      </c>
      <c r="I2" s="9" t="s">
        <v>32</v>
      </c>
      <c r="J2" s="9" t="s">
        <v>32</v>
      </c>
    </row>
    <row r="3" customFormat="false" ht="15" hidden="false" customHeight="false" outlineLevel="0" collapsed="false">
      <c r="A3" s="10" t="s">
        <v>34</v>
      </c>
      <c r="B3" s="10" t="s">
        <v>35</v>
      </c>
      <c r="C3" s="10" t="s">
        <v>36</v>
      </c>
      <c r="D3" s="11" t="n">
        <v>4.6</v>
      </c>
      <c r="E3" s="12" t="n">
        <v>5.943</v>
      </c>
      <c r="F3" s="11" t="n">
        <v>3.546</v>
      </c>
      <c r="G3" s="11" t="n">
        <v>3.353</v>
      </c>
      <c r="H3" s="11" t="n">
        <v>4.964</v>
      </c>
      <c r="I3" s="11" t="n">
        <v>3.285</v>
      </c>
      <c r="J3" s="11" t="n">
        <v>6.707</v>
      </c>
    </row>
    <row r="4" customFormat="false" ht="15" hidden="false" customHeight="false" outlineLevel="0" collapsed="false">
      <c r="A4" s="10" t="s">
        <v>37</v>
      </c>
      <c r="B4" s="10" t="s">
        <v>38</v>
      </c>
      <c r="C4" s="10" t="s">
        <v>39</v>
      </c>
      <c r="D4" s="11" t="n">
        <v>4.292</v>
      </c>
      <c r="E4" s="12" t="n">
        <v>6.277</v>
      </c>
      <c r="F4" s="11" t="n">
        <v>3.871</v>
      </c>
      <c r="G4" s="11" t="n">
        <v>3.678</v>
      </c>
      <c r="H4" s="11" t="n">
        <v>3.451</v>
      </c>
      <c r="I4" s="11" t="n">
        <v>3.61</v>
      </c>
      <c r="J4" s="11" t="n">
        <v>6.511</v>
      </c>
    </row>
    <row r="5" customFormat="false" ht="15" hidden="false" customHeight="false" outlineLevel="0" collapsed="false">
      <c r="A5" s="10" t="s">
        <v>40</v>
      </c>
      <c r="B5" s="10" t="s">
        <v>41</v>
      </c>
      <c r="C5" s="10" t="s">
        <v>42</v>
      </c>
      <c r="D5" s="11" t="n">
        <v>4.707</v>
      </c>
      <c r="E5" s="12" t="n">
        <v>5.669</v>
      </c>
      <c r="F5" s="11" t="n">
        <v>4.286</v>
      </c>
      <c r="G5" s="11" t="n">
        <v>4.186</v>
      </c>
      <c r="H5" s="11" t="n">
        <v>3.76</v>
      </c>
      <c r="I5" s="11" t="n">
        <v>4.025</v>
      </c>
      <c r="J5" s="11" t="n">
        <v>6.715</v>
      </c>
    </row>
    <row r="6" customFormat="false" ht="15" hidden="false" customHeight="false" outlineLevel="0" collapsed="false">
      <c r="A6" s="10" t="s">
        <v>43</v>
      </c>
      <c r="B6" s="10" t="s">
        <v>44</v>
      </c>
      <c r="C6" s="10" t="s">
        <v>36</v>
      </c>
      <c r="D6" s="11" t="n">
        <v>4.8</v>
      </c>
      <c r="E6" s="12" t="n">
        <v>5.915</v>
      </c>
      <c r="F6" s="11" t="n">
        <v>4.379</v>
      </c>
      <c r="G6" s="11" t="n">
        <v>4.27</v>
      </c>
      <c r="H6" s="11" t="n">
        <v>3.867</v>
      </c>
      <c r="I6" s="11" t="n">
        <v>4.118</v>
      </c>
      <c r="J6" s="11" t="n">
        <v>7.075</v>
      </c>
    </row>
    <row r="7" customFormat="false" ht="15" hidden="false" customHeight="false" outlineLevel="0" collapsed="false">
      <c r="A7" s="10" t="s">
        <v>45</v>
      </c>
      <c r="B7" s="10" t="s">
        <v>46</v>
      </c>
      <c r="C7" s="10" t="s">
        <v>39</v>
      </c>
      <c r="D7" s="11" t="n">
        <v>6.135</v>
      </c>
      <c r="E7" s="12" t="n">
        <v>5.748</v>
      </c>
      <c r="F7" s="11" t="n">
        <v>5.584</v>
      </c>
      <c r="G7" s="11" t="n">
        <v>5.39</v>
      </c>
      <c r="H7" s="11" t="n">
        <v>5.295</v>
      </c>
      <c r="I7" s="11" t="n">
        <v>5.323</v>
      </c>
      <c r="J7" s="11" t="n">
        <v>6.918</v>
      </c>
    </row>
    <row r="8" customFormat="false" ht="15" hidden="false" customHeight="false" outlineLevel="0" collapsed="false">
      <c r="A8" s="10" t="s">
        <v>47</v>
      </c>
      <c r="B8" s="10" t="s">
        <v>48</v>
      </c>
      <c r="C8" s="10" t="s">
        <v>49</v>
      </c>
      <c r="D8" s="11" t="n">
        <v>4.884</v>
      </c>
      <c r="E8" s="12" t="n">
        <v>6.161</v>
      </c>
      <c r="F8" s="11" t="n">
        <v>4.463</v>
      </c>
      <c r="G8" s="11" t="n">
        <v>4.347</v>
      </c>
      <c r="H8" s="11" t="n">
        <v>3.96</v>
      </c>
      <c r="I8" s="11" t="n">
        <v>4.202</v>
      </c>
      <c r="J8" s="11" t="n">
        <v>6.641</v>
      </c>
    </row>
    <row r="9" customFormat="false" ht="15" hidden="false" customHeight="false" outlineLevel="0" collapsed="false">
      <c r="A9" s="10" t="s">
        <v>50</v>
      </c>
      <c r="B9" s="10" t="s">
        <v>51</v>
      </c>
      <c r="C9" s="10" t="s">
        <v>52</v>
      </c>
      <c r="D9" s="11" t="n">
        <v>4.961</v>
      </c>
      <c r="E9" s="12" t="n">
        <v>5.792</v>
      </c>
      <c r="F9" s="11" t="n">
        <v>4.54</v>
      </c>
      <c r="G9" s="11" t="n">
        <v>4.42</v>
      </c>
      <c r="H9" s="11" t="n">
        <v>4.044</v>
      </c>
      <c r="I9" s="11" t="n">
        <v>4.28</v>
      </c>
      <c r="J9" s="11" t="n">
        <v>7.111</v>
      </c>
    </row>
    <row r="10" customFormat="false" ht="15" hidden="false" customHeight="false" outlineLevel="0" collapsed="false">
      <c r="A10" s="10" t="s">
        <v>53</v>
      </c>
      <c r="B10" s="10" t="s">
        <v>54</v>
      </c>
      <c r="C10" s="10" t="s">
        <v>36</v>
      </c>
      <c r="D10" s="11" t="n">
        <v>5.034</v>
      </c>
      <c r="E10" s="12" t="n">
        <v>5.843</v>
      </c>
      <c r="F10" s="11" t="n">
        <v>4.613</v>
      </c>
      <c r="G10" s="11" t="n">
        <v>4.49</v>
      </c>
      <c r="H10" s="11" t="n">
        <v>4.121</v>
      </c>
      <c r="I10" s="11" t="n">
        <v>4.352</v>
      </c>
      <c r="J10" s="11" t="n">
        <v>6.905</v>
      </c>
    </row>
    <row r="11" customFormat="false" ht="15" hidden="false" customHeight="false" outlineLevel="0" collapsed="false">
      <c r="A11" s="10" t="s">
        <v>55</v>
      </c>
      <c r="B11" s="10" t="s">
        <v>56</v>
      </c>
      <c r="C11" s="10" t="s">
        <v>36</v>
      </c>
      <c r="D11" s="11" t="n">
        <v>5.104</v>
      </c>
      <c r="E11" s="12" t="n">
        <v>6.284</v>
      </c>
      <c r="F11" s="11" t="n">
        <v>4.683</v>
      </c>
      <c r="G11" s="11" t="n">
        <v>4.557</v>
      </c>
      <c r="H11" s="11" t="n">
        <v>4.194</v>
      </c>
      <c r="I11" s="11" t="n">
        <v>4.422</v>
      </c>
      <c r="J11" s="11" t="n">
        <v>6.676</v>
      </c>
    </row>
    <row r="12" customFormat="false" ht="15" hidden="false" customHeight="false" outlineLevel="0" collapsed="false">
      <c r="A12" s="10" t="s">
        <v>57</v>
      </c>
      <c r="B12" s="10" t="s">
        <v>58</v>
      </c>
      <c r="C12" s="10" t="s">
        <v>39</v>
      </c>
      <c r="D12" s="11" t="n">
        <v>5.501</v>
      </c>
      <c r="E12" s="12" t="n">
        <v>6.161</v>
      </c>
      <c r="F12" s="11" t="n">
        <v>4.75</v>
      </c>
      <c r="G12" s="11" t="n">
        <v>5.029</v>
      </c>
      <c r="H12" s="11" t="n">
        <v>4.661</v>
      </c>
      <c r="I12" s="11" t="n">
        <v>4.489</v>
      </c>
      <c r="J12" s="11" t="n">
        <v>7.049</v>
      </c>
    </row>
    <row r="13" customFormat="false" ht="15" hidden="false" customHeight="false" outlineLevel="0" collapsed="false">
      <c r="A13" s="10" t="s">
        <v>59</v>
      </c>
      <c r="B13" s="10" t="s">
        <v>60</v>
      </c>
      <c r="C13" s="10" t="s">
        <v>52</v>
      </c>
      <c r="D13" s="11" t="n">
        <v>5.57</v>
      </c>
      <c r="E13" s="12" t="n">
        <v>6.161</v>
      </c>
      <c r="F13" s="11" t="n">
        <v>4.816</v>
      </c>
      <c r="G13" s="11" t="n">
        <v>5.106</v>
      </c>
      <c r="H13" s="11" t="n">
        <v>4.73</v>
      </c>
      <c r="I13" s="11" t="n">
        <v>4.555</v>
      </c>
      <c r="J13" s="11" t="n">
        <v>6.77</v>
      </c>
    </row>
    <row r="14" customFormat="false" ht="15" hidden="false" customHeight="false" outlineLevel="0" collapsed="false">
      <c r="A14" s="10" t="s">
        <v>61</v>
      </c>
      <c r="B14" s="10" t="s">
        <v>62</v>
      </c>
      <c r="C14" s="10" t="s">
        <v>63</v>
      </c>
      <c r="D14" s="11" t="n">
        <v>5.643</v>
      </c>
      <c r="E14" s="12" t="n">
        <v>5.746</v>
      </c>
      <c r="F14" s="11" t="n">
        <v>4.881</v>
      </c>
      <c r="G14" s="11" t="n">
        <v>5.19</v>
      </c>
      <c r="H14" s="11" t="n">
        <v>4.803</v>
      </c>
      <c r="I14" s="11" t="n">
        <v>4.62</v>
      </c>
      <c r="J14" s="11" t="n">
        <v>6.681</v>
      </c>
    </row>
    <row r="15" customFormat="false" ht="15" hidden="false" customHeight="false" outlineLevel="0" collapsed="false">
      <c r="A15" s="10" t="s">
        <v>64</v>
      </c>
      <c r="B15" s="10" t="s">
        <v>65</v>
      </c>
      <c r="C15" s="10" t="s">
        <v>66</v>
      </c>
      <c r="D15" s="11" t="n">
        <v>4.469</v>
      </c>
      <c r="E15" s="12" t="n">
        <v>6.275</v>
      </c>
      <c r="F15" s="11" t="n">
        <v>4.048</v>
      </c>
      <c r="G15" s="11" t="n">
        <v>3.855</v>
      </c>
      <c r="H15" s="11" t="n">
        <v>3.127</v>
      </c>
      <c r="I15" s="11" t="n">
        <v>3.787</v>
      </c>
      <c r="J15" s="11" t="n">
        <v>6.642</v>
      </c>
    </row>
    <row r="16" customFormat="false" ht="15" hidden="false" customHeight="false" outlineLevel="0" collapsed="false">
      <c r="A16" s="10" t="s">
        <v>67</v>
      </c>
      <c r="B16" s="10" t="s">
        <v>68</v>
      </c>
      <c r="C16" s="10" t="s">
        <v>39</v>
      </c>
      <c r="D16" s="11" t="n">
        <v>5.171</v>
      </c>
      <c r="E16" s="12" t="n">
        <v>6.284</v>
      </c>
      <c r="F16" s="11" t="n">
        <v>4.947</v>
      </c>
      <c r="G16" s="11" t="n">
        <v>4.623</v>
      </c>
      <c r="H16" s="11" t="n">
        <v>4.263</v>
      </c>
      <c r="I16" s="11" t="n">
        <v>4.686</v>
      </c>
      <c r="J16" s="11" t="n">
        <v>6.286</v>
      </c>
    </row>
    <row r="17" customFormat="false" ht="15" hidden="false" customHeight="false" outlineLevel="0" collapsed="false">
      <c r="A17" s="10" t="s">
        <v>69</v>
      </c>
      <c r="B17" s="10" t="s">
        <v>70</v>
      </c>
      <c r="C17" s="10" t="s">
        <v>71</v>
      </c>
      <c r="D17" s="11" t="n">
        <v>5.237</v>
      </c>
      <c r="E17" s="12" t="n">
        <v>5.843</v>
      </c>
      <c r="F17" s="11" t="n">
        <v>5.013</v>
      </c>
      <c r="G17" s="11" t="n">
        <v>4.688</v>
      </c>
      <c r="H17" s="11" t="n">
        <v>4.331</v>
      </c>
      <c r="I17" s="11" t="n">
        <v>4.752</v>
      </c>
      <c r="J17" s="11" t="n">
        <v>6.245</v>
      </c>
    </row>
    <row r="18" customFormat="false" ht="15" hidden="false" customHeight="false" outlineLevel="0" collapsed="false">
      <c r="A18" s="10" t="s">
        <v>72</v>
      </c>
      <c r="B18" s="10" t="s">
        <v>73</v>
      </c>
      <c r="C18" s="10" t="s">
        <v>74</v>
      </c>
      <c r="D18" s="11" t="n">
        <v>5.897</v>
      </c>
      <c r="E18" s="12" t="n">
        <v>5.672</v>
      </c>
      <c r="F18" s="11" t="n">
        <v>5.08</v>
      </c>
      <c r="G18" s="11" t="n">
        <v>4.956</v>
      </c>
      <c r="H18" s="11" t="n">
        <v>5.057</v>
      </c>
      <c r="I18" s="11" t="n">
        <v>4.819</v>
      </c>
      <c r="J18" s="11" t="n">
        <v>6.682</v>
      </c>
    </row>
    <row r="19" customFormat="false" ht="15" hidden="false" customHeight="false" outlineLevel="0" collapsed="false">
      <c r="A19" s="10" t="s">
        <v>75</v>
      </c>
      <c r="B19" s="10" t="s">
        <v>76</v>
      </c>
      <c r="C19" s="10" t="s">
        <v>77</v>
      </c>
      <c r="D19" s="11" t="n">
        <v>6.313</v>
      </c>
      <c r="E19" s="12" t="n">
        <v>6.109</v>
      </c>
      <c r="F19" s="11" t="n">
        <v>5.714</v>
      </c>
      <c r="G19" s="11" t="n">
        <v>5.521</v>
      </c>
      <c r="H19" s="11" t="n">
        <v>5.473</v>
      </c>
      <c r="I19" s="11" t="n">
        <v>5.453</v>
      </c>
      <c r="J19" s="11" t="n">
        <v>6.831</v>
      </c>
    </row>
    <row r="20" customFormat="false" ht="15" hidden="false" customHeight="false" outlineLevel="0" collapsed="false">
      <c r="A20" s="10" t="s">
        <v>78</v>
      </c>
      <c r="B20" s="10" t="s">
        <v>79</v>
      </c>
      <c r="C20" s="10" t="s">
        <v>39</v>
      </c>
      <c r="D20" s="11" t="n">
        <v>5.302</v>
      </c>
      <c r="E20" s="12" t="n">
        <v>5.843</v>
      </c>
      <c r="F20" s="11" t="n">
        <v>5.149</v>
      </c>
      <c r="G20" s="11" t="n">
        <v>4.754</v>
      </c>
      <c r="H20" s="11" t="n">
        <v>4.397</v>
      </c>
      <c r="I20" s="11" t="n">
        <v>4.888</v>
      </c>
      <c r="J20" s="11" t="n">
        <v>6.886</v>
      </c>
    </row>
    <row r="21" customFormat="false" ht="15" hidden="false" customHeight="false" outlineLevel="0" collapsed="false">
      <c r="A21" s="10" t="s">
        <v>80</v>
      </c>
      <c r="B21" s="10" t="s">
        <v>81</v>
      </c>
      <c r="C21" s="10" t="s">
        <v>52</v>
      </c>
      <c r="D21" s="11" t="n">
        <v>6.005</v>
      </c>
      <c r="E21" s="12" t="n">
        <v>5.97</v>
      </c>
      <c r="F21" s="11" t="n">
        <v>6.216</v>
      </c>
      <c r="G21" s="11" t="n">
        <v>6.023</v>
      </c>
      <c r="H21" s="11" t="n">
        <v>5.164</v>
      </c>
      <c r="I21" s="11" t="n">
        <v>5.955</v>
      </c>
      <c r="J21" s="11" t="n">
        <v>6.857</v>
      </c>
    </row>
    <row r="22" customFormat="false" ht="15" hidden="false" customHeight="false" outlineLevel="0" collapsed="false">
      <c r="A22" s="10" t="s">
        <v>82</v>
      </c>
      <c r="B22" s="10" t="s">
        <v>83</v>
      </c>
      <c r="C22" s="10" t="s">
        <v>84</v>
      </c>
      <c r="D22" s="11" t="n">
        <v>5.721</v>
      </c>
      <c r="E22" s="12" t="n">
        <v>6.038</v>
      </c>
      <c r="F22" s="11" t="n">
        <v>5.222</v>
      </c>
      <c r="G22" s="11" t="n">
        <v>5.283</v>
      </c>
      <c r="H22" s="11" t="n">
        <v>4.88</v>
      </c>
      <c r="I22" s="11" t="n">
        <v>4.961</v>
      </c>
      <c r="J22" s="11" t="n">
        <v>6.53</v>
      </c>
    </row>
    <row r="23" customFormat="false" ht="15" hidden="false" customHeight="false" outlineLevel="0" collapsed="false">
      <c r="A23" s="10" t="s">
        <v>85</v>
      </c>
      <c r="B23" s="10" t="s">
        <v>86</v>
      </c>
      <c r="C23" s="10" t="s">
        <v>77</v>
      </c>
      <c r="D23" s="11" t="n">
        <v>5.368</v>
      </c>
      <c r="E23" s="12" t="n">
        <v>5.843</v>
      </c>
      <c r="F23" s="11" t="n">
        <v>5.3</v>
      </c>
      <c r="G23" s="11" t="n">
        <v>4.819</v>
      </c>
      <c r="H23" s="11" t="n">
        <v>4.462</v>
      </c>
      <c r="I23" s="11" t="n">
        <v>5.039</v>
      </c>
      <c r="J23" s="11" t="n">
        <v>7.262</v>
      </c>
    </row>
    <row r="24" customFormat="false" ht="15" hidden="false" customHeight="false" outlineLevel="0" collapsed="false">
      <c r="A24" s="10" t="s">
        <v>87</v>
      </c>
      <c r="B24" s="10" t="s">
        <v>88</v>
      </c>
      <c r="C24" s="10" t="s">
        <v>89</v>
      </c>
      <c r="D24" s="11" t="n">
        <v>3.967</v>
      </c>
      <c r="E24" s="12" t="n">
        <v>5.908</v>
      </c>
      <c r="F24" s="11" t="n">
        <v>4.179</v>
      </c>
      <c r="G24" s="11" t="n">
        <v>3.986</v>
      </c>
      <c r="H24" s="11" t="n">
        <v>3.629</v>
      </c>
      <c r="I24" s="11" t="n">
        <v>3.918</v>
      </c>
      <c r="J24" s="11" t="n">
        <v>6.424</v>
      </c>
    </row>
    <row r="25" customFormat="false" ht="15" hidden="false" customHeight="false" outlineLevel="0" collapsed="false">
      <c r="A25" s="10" t="s">
        <v>90</v>
      </c>
      <c r="B25" s="10" t="s">
        <v>91</v>
      </c>
      <c r="C25" s="10" t="s">
        <v>92</v>
      </c>
      <c r="D25" s="11" t="n">
        <v>6.637</v>
      </c>
      <c r="E25" s="12" t="n">
        <v>6.109</v>
      </c>
      <c r="F25" s="11" t="n">
        <v>5.892</v>
      </c>
      <c r="G25" s="11" t="n">
        <v>5.699</v>
      </c>
      <c r="H25" s="11" t="n">
        <v>5.797</v>
      </c>
      <c r="I25" s="11" t="n">
        <v>5.631</v>
      </c>
      <c r="J25" s="11" t="n">
        <v>7.237</v>
      </c>
    </row>
    <row r="26" customFormat="false" ht="15" hidden="false" customHeight="false" outlineLevel="0" collapsed="false">
      <c r="A26" s="10" t="s">
        <v>93</v>
      </c>
      <c r="B26" s="10" t="s">
        <v>94</v>
      </c>
      <c r="C26" s="10" t="s">
        <v>42</v>
      </c>
      <c r="D26" s="11" t="n">
        <v>5.434</v>
      </c>
      <c r="E26" s="12" t="n">
        <v>5.96</v>
      </c>
      <c r="F26" s="11" t="n">
        <v>5.383</v>
      </c>
      <c r="G26" s="11" t="n">
        <v>4.887</v>
      </c>
      <c r="H26" s="11" t="n">
        <v>4.527</v>
      </c>
      <c r="I26" s="11" t="n">
        <v>5.122</v>
      </c>
      <c r="J26" s="11" t="n">
        <v>6.449</v>
      </c>
    </row>
    <row r="27" customFormat="false" ht="15" hidden="false" customHeight="false" outlineLevel="0" collapsed="false">
      <c r="A27" s="10" t="s">
        <v>95</v>
      </c>
      <c r="B27" s="10" t="s">
        <v>96</v>
      </c>
      <c r="C27" s="10" t="s">
        <v>84</v>
      </c>
      <c r="D27" s="11" t="n">
        <v>5.804</v>
      </c>
      <c r="E27" s="12" t="n">
        <v>5.962</v>
      </c>
      <c r="F27" s="11" t="n">
        <v>5.476</v>
      </c>
      <c r="G27" s="11" t="n">
        <v>4.093</v>
      </c>
      <c r="H27" s="11" t="n">
        <v>4.593</v>
      </c>
      <c r="I27" s="11" t="n">
        <v>5.215</v>
      </c>
      <c r="J27" s="11" t="n">
        <v>6.716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3"/>
  </cols>
  <sheetData>
    <row r="2" customFormat="false" ht="15" hidden="false" customHeight="false" outlineLevel="0" collapsed="false">
      <c r="B2" s="13" t="s">
        <v>97</v>
      </c>
    </row>
    <row r="3" customFormat="false" ht="15" hidden="false" customHeight="false" outlineLevel="0" collapsed="false">
      <c r="B3" s="14" t="s">
        <v>98</v>
      </c>
    </row>
    <row r="5" customFormat="false" ht="35.05" hidden="false" customHeight="false" outlineLevel="0" collapsed="false">
      <c r="B5" s="8" t="s">
        <v>99</v>
      </c>
      <c r="C5" s="8" t="s">
        <v>100</v>
      </c>
      <c r="D5" s="8" t="s">
        <v>101</v>
      </c>
      <c r="E5" s="8" t="s">
        <v>102</v>
      </c>
    </row>
    <row r="6" customFormat="false" ht="15" hidden="false" customHeight="false" outlineLevel="0" collapsed="false">
      <c r="B6" s="15" t="s">
        <v>24</v>
      </c>
      <c r="C6" s="16" t="n">
        <f aca="false">AVERAGE('Firm-Level Dataset'!D3:D27)-1.5*STDEV('Firm-Level Dataset'!D3:D27)</f>
        <v>4.33196372362301</v>
      </c>
      <c r="D6" s="16" t="n">
        <f aca="false">AVERAGE('Firm-Level Dataset'!D3:D27)</f>
        <v>5.30224</v>
      </c>
      <c r="E6" s="16" t="n">
        <f aca="false">AVERAGE('Firm-Level Dataset'!D3:D27)+1.5*STDEV('Firm-Level Dataset'!D3:D27)</f>
        <v>6.27251627637699</v>
      </c>
    </row>
    <row r="7" customFormat="false" ht="15" hidden="false" customHeight="false" outlineLevel="0" collapsed="false">
      <c r="B7" s="15" t="s">
        <v>25</v>
      </c>
      <c r="C7" s="16" t="n">
        <f aca="false">AVERAGE('Firm-Level Dataset'!E3:E27)-1.5*STDEV('Firm-Level Dataset'!E3:E27)</f>
        <v>5.68740826143816</v>
      </c>
      <c r="D7" s="16" t="n">
        <f aca="false">AVERAGE('Firm-Level Dataset'!E3:E27)</f>
        <v>5.98064</v>
      </c>
      <c r="E7" s="16" t="n">
        <f aca="false">AVERAGE('Firm-Level Dataset'!E3:E27)+1.5*STDEV('Firm-Level Dataset'!E3:E27)</f>
        <v>6.27387173856184</v>
      </c>
    </row>
    <row r="8" customFormat="false" ht="15" hidden="false" customHeight="false" outlineLevel="0" collapsed="false">
      <c r="B8" s="15" t="s">
        <v>26</v>
      </c>
      <c r="C8" s="16" t="n">
        <f aca="false">AVERAGE('Firm-Level Dataset'!F3:F27)-1.5*STDEV('Firm-Level Dataset'!F3:F27)</f>
        <v>3.91096372362301</v>
      </c>
      <c r="D8" s="16" t="n">
        <f aca="false">AVERAGE('Firm-Level Dataset'!F3:F27)</f>
        <v>4.88124</v>
      </c>
      <c r="E8" s="16" t="n">
        <f aca="false">AVERAGE('Firm-Level Dataset'!F3:F27)+1.5*STDEV('Firm-Level Dataset'!F3:F27)</f>
        <v>5.85151627637699</v>
      </c>
    </row>
    <row r="9" customFormat="false" ht="15" hidden="false" customHeight="false" outlineLevel="0" collapsed="false">
      <c r="B9" s="15" t="s">
        <v>27</v>
      </c>
      <c r="C9" s="16" t="n">
        <f aca="false">AVERAGE('Firm-Level Dataset'!G3:G27)-1.5*STDEV('Firm-Level Dataset'!G3:G27)</f>
        <v>3.71796469799934</v>
      </c>
      <c r="D9" s="16" t="n">
        <f aca="false">AVERAGE('Firm-Level Dataset'!G3:G27)</f>
        <v>4.68812</v>
      </c>
      <c r="E9" s="16" t="n">
        <f aca="false">AVERAGE('Firm-Level Dataset'!G3:G27)+1.5*STDEV('Firm-Level Dataset'!G3:G27)</f>
        <v>5.65827530200066</v>
      </c>
    </row>
    <row r="10" customFormat="false" ht="15" hidden="false" customHeight="false" outlineLevel="0" collapsed="false">
      <c r="B10" s="15" t="s">
        <v>28</v>
      </c>
      <c r="C10" s="16" t="n">
        <f aca="false">AVERAGE('Firm-Level Dataset'!H3:H27)-1.5*STDEV('Firm-Level Dataset'!H3:H27)</f>
        <v>3.49173418590574</v>
      </c>
      <c r="D10" s="16" t="n">
        <f aca="false">AVERAGE('Firm-Level Dataset'!H3:H27)</f>
        <v>4.462</v>
      </c>
      <c r="E10" s="16" t="n">
        <f aca="false">AVERAGE('Firm-Level Dataset'!H3:H27)+1.5*STDEV('Firm-Level Dataset'!H3:H27)</f>
        <v>5.43226581409426</v>
      </c>
    </row>
    <row r="11" customFormat="false" ht="15" hidden="false" customHeight="false" outlineLevel="0" collapsed="false">
      <c r="B11" s="15" t="s">
        <v>29</v>
      </c>
      <c r="C11" s="16" t="n">
        <f aca="false">AVERAGE('Firm-Level Dataset'!I3:I27)-1.5*STDEV('Firm-Level Dataset'!I3:I27)</f>
        <v>3.6500366490823</v>
      </c>
      <c r="D11" s="16" t="n">
        <f aca="false">AVERAGE('Firm-Level Dataset'!I3:I27)</f>
        <v>4.62028</v>
      </c>
      <c r="E11" s="16" t="n">
        <f aca="false">AVERAGE('Firm-Level Dataset'!I3:I27)+1.5*STDEV('Firm-Level Dataset'!I3:I27)</f>
        <v>5.5905233509177</v>
      </c>
    </row>
    <row r="12" customFormat="false" ht="15" hidden="false" customHeight="false" outlineLevel="0" collapsed="false">
      <c r="B12" s="15" t="s">
        <v>30</v>
      </c>
      <c r="C12" s="16" t="n">
        <f aca="false">AVERAGE('Firm-Level Dataset'!J3:J27)-1.5*STDEV('Firm-Level Dataset'!J3:J27)</f>
        <v>6.34962613101385</v>
      </c>
      <c r="D12" s="16" t="n">
        <f aca="false">AVERAGE('Firm-Level Dataset'!J3:J27)</f>
        <v>6.75224</v>
      </c>
      <c r="E12" s="16" t="n">
        <f aca="false">AVERAGE('Firm-Level Dataset'!J3:J27)+1.5*STDEV('Firm-Level Dataset'!J3:J27)</f>
        <v>7.15485386898615</v>
      </c>
    </row>
    <row r="14" customFormat="false" ht="15" hidden="false" customHeight="false" outlineLevel="0" collapsed="false">
      <c r="B14" s="13" t="s">
        <v>103</v>
      </c>
    </row>
    <row r="15" customFormat="false" ht="23.85" hidden="false" customHeight="false" outlineLevel="0" collapsed="false">
      <c r="B15" s="8" t="s">
        <v>21</v>
      </c>
      <c r="C15" s="8" t="s">
        <v>104</v>
      </c>
      <c r="D15" s="8" t="s">
        <v>105</v>
      </c>
      <c r="E15" s="8" t="s">
        <v>106</v>
      </c>
      <c r="F15" s="8" t="s">
        <v>107</v>
      </c>
      <c r="G15" s="8" t="s">
        <v>108</v>
      </c>
      <c r="H15" s="8" t="s">
        <v>109</v>
      </c>
      <c r="I15" s="8" t="s">
        <v>110</v>
      </c>
    </row>
    <row r="16" customFormat="false" ht="15" hidden="false" customHeight="false" outlineLevel="0" collapsed="false">
      <c r="B16" s="10" t="str">
        <f aca="false">'Firm-Level Dataset'!A3</f>
        <v>ASML Holding N.V.</v>
      </c>
      <c r="C16" s="17" t="n">
        <f aca="false">IF('Firm-Level Dataset'!D3&gt;=$D$6,1/(1+EXP(-(LN(19)/($E$6-$D$6))*('Firm-Level Dataset'!D3-$D$6))),1/(1+EXP(-(LN(19)/($D$6-$C$6))*('Firm-Level Dataset'!D3-$D$6))))</f>
        <v>0.106115785931744</v>
      </c>
      <c r="D16" s="17" t="n">
        <f aca="false">IF('Firm-Level Dataset'!E3&gt;=$D$7,1/(1+EXP(-(LN(19)/($E$7-$D$7))*('Firm-Level Dataset'!E3-$D$7))),1/(1+EXP(-(LN(19)/($D$7-$C$7))*('Firm-Level Dataset'!E3-$D$7))))</f>
        <v>0.406619989163986</v>
      </c>
      <c r="E16" s="17" t="n">
        <f aca="false">IF('Firm-Level Dataset'!F3&gt;=$D$8,1/(1+EXP(-(LN(19)/($E$8-$D$8))*('Firm-Level Dataset'!F3-$D$8))),1/(1+EXP(-(LN(19)/($D$8-$C$8))*('Firm-Level Dataset'!F3-$D$8))))</f>
        <v>0.0170908676644779</v>
      </c>
      <c r="F16" s="17" t="n">
        <f aca="false">IF('Firm-Level Dataset'!G3&gt;=$D$9,1/(1+EXP(-(LN(19)/($E$9-$D$9))*('Firm-Level Dataset'!G3-$D$9))),1/(1+EXP(-(LN(19)/($D$9-$C$9))*('Firm-Level Dataset'!G3-$D$9))))</f>
        <v>0.0170884981558981</v>
      </c>
      <c r="G16" s="17" t="n">
        <f aca="false">IF('Firm-Level Dataset'!H3&gt;=$D$10,1/(1+EXP(-(LN(19)/($E$10-$D$10))*('Firm-Level Dataset'!H3-$D$10))),1/(1+EXP(-(LN(19)/($D$10-$C$10))*('Firm-Level Dataset'!H3-$D$10))))</f>
        <v>0.821039424092291</v>
      </c>
      <c r="H16" s="17" t="n">
        <f aca="false">IF('Firm-Level Dataset'!I3&gt;=$D$11,1/(1+EXP(-(LN(19)/($E$11-$D$11))*('Firm-Level Dataset'!I3-$D$11))),1/(1+EXP(-(LN(19)/($D$11-$C$11))*('Firm-Level Dataset'!I3-$D$11))))</f>
        <v>0.0170865190999936</v>
      </c>
      <c r="I16" s="17" t="n">
        <f aca="false">IF('Firm-Level Dataset'!J3&gt;=$D$12,1/(1+EXP(-(LN(19)/($E$12-$D$12))*('Firm-Level Dataset'!J3-$D$12))),1/(1+EXP(-(LN(19)/($D$12-$C$12))*('Firm-Level Dataset'!J3-$D$12))))</f>
        <v>0.418032840033968</v>
      </c>
    </row>
    <row r="17" customFormat="false" ht="15" hidden="false" customHeight="false" outlineLevel="0" collapsed="false">
      <c r="B17" s="10" t="str">
        <f aca="false">'Firm-Level Dataset'!A4</f>
        <v>Advanced Micro Devices</v>
      </c>
      <c r="C17" s="17" t="n">
        <f aca="false">IF('Firm-Level Dataset'!D4&gt;=$D$6,1/(1+EXP(-(LN(19)/($E$6-$D$6))*('Firm-Level Dataset'!D4-$D$6))),1/(1+EXP(-(LN(19)/($D$6-$C$6))*('Firm-Level Dataset'!D4-$D$6))))</f>
        <v>0.0445438622921675</v>
      </c>
      <c r="D17" s="17" t="n">
        <f aca="false">IF('Firm-Level Dataset'!E4&gt;=$D$7,1/(1+EXP(-(LN(19)/($E$7-$D$7))*('Firm-Level Dataset'!E4-$D$7))),1/(1+EXP(-(LN(19)/($D$7-$C$7))*('Firm-Level Dataset'!E4-$D$7))))</f>
        <v>0.951471150467705</v>
      </c>
      <c r="E17" s="17" t="n">
        <f aca="false">IF('Firm-Level Dataset'!F4&gt;=$D$8,1/(1+EXP(-(LN(19)/($E$8-$D$8))*('Firm-Level Dataset'!F4-$D$8))),1/(1+EXP(-(LN(19)/($D$8-$C$8))*('Firm-Level Dataset'!F4-$D$8))))</f>
        <v>0.0445438622921676</v>
      </c>
      <c r="F17" s="17" t="n">
        <f aca="false">IF('Firm-Level Dataset'!G4&gt;=$D$9,1/(1+EXP(-(LN(19)/($E$9-$D$9))*('Firm-Level Dataset'!G4-$D$9))),1/(1+EXP(-(LN(19)/($D$9-$C$9))*('Firm-Level Dataset'!G4-$D$9))))</f>
        <v>0.0445430928272386</v>
      </c>
      <c r="G17" s="17" t="n">
        <f aca="false">IF('Firm-Level Dataset'!H4&gt;=$D$10,1/(1+EXP(-(LN(19)/($E$10-$D$10))*('Firm-Level Dataset'!H4-$D$10))),1/(1+EXP(-(LN(19)/($D$10-$C$10))*('Firm-Level Dataset'!H4-$D$10))))</f>
        <v>0.0444444037751853</v>
      </c>
      <c r="H17" s="17" t="n">
        <f aca="false">IF('Firm-Level Dataset'!I4&gt;=$D$11,1/(1+EXP(-(LN(19)/($E$11-$D$11))*('Firm-Level Dataset'!I4-$D$11))),1/(1+EXP(-(LN(19)/($D$11-$C$11))*('Firm-Level Dataset'!I4-$D$11))))</f>
        <v>0.0445342692329373</v>
      </c>
      <c r="I17" s="17" t="n">
        <f aca="false">IF('Firm-Level Dataset'!J4&gt;=$D$12,1/(1+EXP(-(LN(19)/($E$12-$D$12))*('Firm-Level Dataset'!J4-$D$12))),1/(1+EXP(-(LN(19)/($D$12-$C$12))*('Firm-Level Dataset'!J4-$D$12))))</f>
        <v>0.146257323561819</v>
      </c>
    </row>
    <row r="18" customFormat="false" ht="15" hidden="false" customHeight="false" outlineLevel="0" collapsed="false">
      <c r="B18" s="10" t="str">
        <f aca="false">'Firm-Level Dataset'!A5</f>
        <v>Analog Devices</v>
      </c>
      <c r="C18" s="17" t="n">
        <f aca="false">IF('Firm-Level Dataset'!D5&gt;=$D$6,1/(1+EXP(-(LN(19)/($E$6-$D$6))*('Firm-Level Dataset'!D5-$D$6))),1/(1+EXP(-(LN(19)/($D$6-$C$6))*('Firm-Level Dataset'!D5-$D$6))))</f>
        <v>0.141081175682678</v>
      </c>
      <c r="D18" s="17" t="n">
        <f aca="false">IF('Firm-Level Dataset'!E5&gt;=$D$7,1/(1+EXP(-(LN(19)/($E$7-$D$7))*('Firm-Level Dataset'!E5-$D$7))),1/(1+EXP(-(LN(19)/($D$7-$C$7))*('Firm-Level Dataset'!E5-$D$7))))</f>
        <v>0.0419154091915431</v>
      </c>
      <c r="E18" s="17" t="n">
        <f aca="false">IF('Firm-Level Dataset'!F5&gt;=$D$8,1/(1+EXP(-(LN(19)/($E$8-$D$8))*('Firm-Level Dataset'!F5-$D$8))),1/(1+EXP(-(LN(19)/($D$8-$C$8))*('Firm-Level Dataset'!F5-$D$8))))</f>
        <v>0.141081175682678</v>
      </c>
      <c r="F18" s="17" t="n">
        <f aca="false">IF('Firm-Level Dataset'!G5&gt;=$D$9,1/(1+EXP(-(LN(19)/($E$9-$D$9))*('Firm-Level Dataset'!G5-$D$9))),1/(1+EXP(-(LN(19)/($D$9-$C$9))*('Firm-Level Dataset'!G5-$D$9))))</f>
        <v>0.178881578015522</v>
      </c>
      <c r="G18" s="17" t="n">
        <f aca="false">IF('Firm-Level Dataset'!H5&gt;=$D$10,1/(1+EXP(-(LN(19)/($E$10-$D$10))*('Firm-Level Dataset'!H5-$D$10))),1/(1+EXP(-(LN(19)/($D$10-$C$10))*('Firm-Level Dataset'!H5-$D$10))))</f>
        <v>0.106182709948128</v>
      </c>
      <c r="H18" s="17" t="n">
        <f aca="false">IF('Firm-Level Dataset'!I5&gt;=$D$11,1/(1+EXP(-(LN(19)/($E$11-$D$11))*('Firm-Level Dataset'!I5-$D$11))),1/(1+EXP(-(LN(19)/($D$11-$C$11))*('Firm-Level Dataset'!I5-$D$11))))</f>
        <v>0.141059039464468</v>
      </c>
      <c r="I18" s="17" t="n">
        <f aca="false">IF('Firm-Level Dataset'!J5&gt;=$D$12,1/(1+EXP(-(LN(19)/($E$12-$D$12))*('Firm-Level Dataset'!J5-$D$12))),1/(1+EXP(-(LN(19)/($D$12-$C$12))*('Firm-Level Dataset'!J5-$D$12))))</f>
        <v>0.432330861828384</v>
      </c>
    </row>
    <row r="19" customFormat="false" ht="15" hidden="false" customHeight="false" outlineLevel="0" collapsed="false">
      <c r="B19" s="10" t="str">
        <f aca="false">'Firm-Level Dataset'!A6</f>
        <v>Applied Materials</v>
      </c>
      <c r="C19" s="17" t="n">
        <f aca="false">IF('Firm-Level Dataset'!D6&gt;=$D$6,1/(1+EXP(-(LN(19)/($E$6-$D$6))*('Firm-Level Dataset'!D6-$D$6))),1/(1+EXP(-(LN(19)/($D$6-$C$6))*('Firm-Level Dataset'!D6-$D$6))))</f>
        <v>0.178855999631813</v>
      </c>
      <c r="D19" s="17" t="n">
        <f aca="false">IF('Firm-Level Dataset'!E6&gt;=$D$7,1/(1+EXP(-(LN(19)/($E$7-$D$7))*('Firm-Level Dataset'!E6-$D$7))),1/(1+EXP(-(LN(19)/($D$7-$C$7))*('Firm-Level Dataset'!E6-$D$7))))</f>
        <v>0.340938797147938</v>
      </c>
      <c r="E19" s="17" t="n">
        <f aca="false">IF('Firm-Level Dataset'!F6&gt;=$D$8,1/(1+EXP(-(LN(19)/($E$8-$D$8))*('Firm-Level Dataset'!F6-$D$8))),1/(1+EXP(-(LN(19)/($D$8-$C$8))*('Firm-Level Dataset'!F6-$D$8))))</f>
        <v>0.178855999631813</v>
      </c>
      <c r="F19" s="17" t="n">
        <f aca="false">IF('Firm-Level Dataset'!G6&gt;=$D$9,1/(1+EXP(-(LN(19)/($E$9-$D$9))*('Firm-Level Dataset'!G6-$D$9))),1/(1+EXP(-(LN(19)/($D$9-$C$9))*('Firm-Level Dataset'!G6-$D$9))))</f>
        <v>0.219428175095833</v>
      </c>
      <c r="G19" s="17" t="n">
        <f aca="false">IF('Firm-Level Dataset'!H6&gt;=$D$10,1/(1+EXP(-(LN(19)/($E$10-$D$10))*('Firm-Level Dataset'!H6-$D$10))),1/(1+EXP(-(LN(19)/($D$10-$C$10))*('Firm-Level Dataset'!H6-$D$10))))</f>
        <v>0.141167093302311</v>
      </c>
      <c r="H19" s="17" t="n">
        <f aca="false">IF('Firm-Level Dataset'!I6&gt;=$D$11,1/(1+EXP(-(LN(19)/($E$11-$D$11))*('Firm-Level Dataset'!I6-$D$11))),1/(1+EXP(-(LN(19)/($D$11-$C$11))*('Firm-Level Dataset'!I6-$D$11))))</f>
        <v>0.178830576828554</v>
      </c>
      <c r="I19" s="17" t="n">
        <f aca="false">IF('Firm-Level Dataset'!J6&gt;=$D$12,1/(1+EXP(-(LN(19)/($E$12-$D$12))*('Firm-Level Dataset'!J6-$D$12))),1/(1+EXP(-(LN(19)/($D$12-$C$12))*('Firm-Level Dataset'!J6-$D$12))))</f>
        <v>0.913760728296807</v>
      </c>
    </row>
    <row r="20" customFormat="false" ht="15" hidden="false" customHeight="false" outlineLevel="0" collapsed="false">
      <c r="B20" s="10" t="str">
        <f aca="false">'Firm-Level Dataset'!A7</f>
        <v>Broadcom Inc.</v>
      </c>
      <c r="C20" s="17" t="n">
        <f aca="false">IF('Firm-Level Dataset'!D7&gt;=$D$6,1/(1+EXP(-(LN(19)/($E$6-$D$6))*('Firm-Level Dataset'!D7-$D$6))),1/(1+EXP(-(LN(19)/($D$6-$C$6))*('Firm-Level Dataset'!D7-$D$6))))</f>
        <v>0.926021751782426</v>
      </c>
      <c r="D20" s="17" t="n">
        <f aca="false">IF('Firm-Level Dataset'!E7&gt;=$D$7,1/(1+EXP(-(LN(19)/($E$7-$D$7))*('Firm-Level Dataset'!E7-$D$7))),1/(1+EXP(-(LN(19)/($D$7-$C$7))*('Firm-Level Dataset'!E7-$D$7))))</f>
        <v>0.0881836637575903</v>
      </c>
      <c r="E20" s="17" t="n">
        <f aca="false">IF('Firm-Level Dataset'!F7&gt;=$D$8,1/(1+EXP(-(LN(19)/($E$8-$D$8))*('Firm-Level Dataset'!F7-$D$8))),1/(1+EXP(-(LN(19)/($D$8-$C$8))*('Firm-Level Dataset'!F7-$D$8))))</f>
        <v>0.894033803808507</v>
      </c>
      <c r="F20" s="17" t="n">
        <f aca="false">IF('Firm-Level Dataset'!G7&gt;=$D$9,1/(1+EXP(-(LN(19)/($E$9-$D$9))*('Firm-Level Dataset'!G7-$D$9))),1/(1+EXP(-(LN(19)/($D$9-$C$9))*('Firm-Level Dataset'!G7-$D$9))))</f>
        <v>0.893805755204568</v>
      </c>
      <c r="G20" s="17" t="n">
        <f aca="false">IF('Firm-Level Dataset'!H7&gt;=$D$10,1/(1+EXP(-(LN(19)/($E$10-$D$10))*('Firm-Level Dataset'!H7-$D$10))),1/(1+EXP(-(LN(19)/($D$10-$C$10))*('Firm-Level Dataset'!H7-$D$10))))</f>
        <v>0.92607349587935</v>
      </c>
      <c r="H20" s="17" t="n">
        <f aca="false">IF('Firm-Level Dataset'!I7&gt;=$D$11,1/(1+EXP(-(LN(19)/($E$11-$D$11))*('Firm-Level Dataset'!I7-$D$11))),1/(1+EXP(-(LN(19)/($D$11-$C$11))*('Firm-Level Dataset'!I7-$D$11))))</f>
        <v>0.894029159827746</v>
      </c>
      <c r="I20" s="17" t="n">
        <f aca="false">IF('Firm-Level Dataset'!J7&gt;=$D$12,1/(1+EXP(-(LN(19)/($E$12-$D$12))*('Firm-Level Dataset'!J7-$D$12))),1/(1+EXP(-(LN(19)/($D$12-$C$12))*('Firm-Level Dataset'!J7-$D$12))))</f>
        <v>0.770697495548724</v>
      </c>
    </row>
    <row r="21" customFormat="false" ht="15" hidden="false" customHeight="false" outlineLevel="0" collapsed="false">
      <c r="B21" s="10" t="str">
        <f aca="false">'Firm-Level Dataset'!A8</f>
        <v>Infineon Technologies</v>
      </c>
      <c r="C21" s="17" t="n">
        <f aca="false">IF('Firm-Level Dataset'!D8&gt;=$D$6,1/(1+EXP(-(LN(19)/($E$6-$D$6))*('Firm-Level Dataset'!D8-$D$6))),1/(1+EXP(-(LN(19)/($D$6-$C$6))*('Firm-Level Dataset'!D8-$D$6))))</f>
        <v>0.21939290432397</v>
      </c>
      <c r="D21" s="17" t="n">
        <f aca="false">IF('Firm-Level Dataset'!E8&gt;=$D$7,1/(1+EXP(-(LN(19)/($E$7-$D$7))*('Firm-Level Dataset'!E8-$D$7))),1/(1+EXP(-(LN(19)/($D$7-$C$7))*('Firm-Level Dataset'!E8-$D$7))))</f>
        <v>0.859489417887308</v>
      </c>
      <c r="E21" s="17" t="n">
        <f aca="false">IF('Firm-Level Dataset'!F8&gt;=$D$8,1/(1+EXP(-(LN(19)/($E$8-$D$8))*('Firm-Level Dataset'!F8-$D$8))),1/(1+EXP(-(LN(19)/($D$8-$C$8))*('Firm-Level Dataset'!F8-$D$8))))</f>
        <v>0.21939290432397</v>
      </c>
      <c r="F21" s="17" t="n">
        <f aca="false">IF('Firm-Level Dataset'!G8&gt;=$D$9,1/(1+EXP(-(LN(19)/($E$9-$D$9))*('Firm-Level Dataset'!G8-$D$9))),1/(1+EXP(-(LN(19)/($D$9-$C$9))*('Firm-Level Dataset'!G8-$D$9))))</f>
        <v>0.262056835019604</v>
      </c>
      <c r="G21" s="17" t="n">
        <f aca="false">IF('Firm-Level Dataset'!H8&gt;=$D$10,1/(1+EXP(-(LN(19)/($E$10-$D$10))*('Firm-Level Dataset'!H8-$D$10))),1/(1+EXP(-(LN(19)/($D$10-$C$10))*('Firm-Level Dataset'!H8-$D$10))))</f>
        <v>0.178960575907709</v>
      </c>
      <c r="H21" s="17" t="n">
        <f aca="false">IF('Firm-Level Dataset'!I8&gt;=$D$11,1/(1+EXP(-(LN(19)/($E$11-$D$11))*('Firm-Level Dataset'!I8-$D$11))),1/(1+EXP(-(LN(19)/($D$11-$C$11))*('Firm-Level Dataset'!I8-$D$11))))</f>
        <v>0.219364740157113</v>
      </c>
      <c r="I21" s="17" t="n">
        <f aca="false">IF('Firm-Level Dataset'!J8&gt;=$D$12,1/(1+EXP(-(LN(19)/($E$12-$D$12))*('Firm-Level Dataset'!J8-$D$12))),1/(1+EXP(-(LN(19)/($D$12-$C$12))*('Firm-Level Dataset'!J8-$D$12))))</f>
        <v>0.307138292450931</v>
      </c>
    </row>
    <row r="22" customFormat="false" ht="15" hidden="false" customHeight="false" outlineLevel="0" collapsed="false">
      <c r="B22" s="10" t="str">
        <f aca="false">'Firm-Level Dataset'!A9</f>
        <v>Intel Corporation</v>
      </c>
      <c r="C22" s="17" t="n">
        <f aca="false">IF('Firm-Level Dataset'!D9&gt;=$D$6,1/(1+EXP(-(LN(19)/($E$6-$D$6))*('Firm-Level Dataset'!D9-$D$6))),1/(1+EXP(-(LN(19)/($D$6-$C$6))*('Firm-Level Dataset'!D9-$D$6))))</f>
        <v>0.262011378130262</v>
      </c>
      <c r="D22" s="17" t="n">
        <f aca="false">IF('Firm-Level Dataset'!E9&gt;=$D$7,1/(1+EXP(-(LN(19)/($E$7-$D$7))*('Firm-Level Dataset'!E9-$D$7))),1/(1+EXP(-(LN(19)/($D$7-$C$7))*('Firm-Level Dataset'!E9-$D$7))))</f>
        <v>0.130766558129165</v>
      </c>
      <c r="E22" s="17" t="n">
        <f aca="false">IF('Firm-Level Dataset'!F9&gt;=$D$8,1/(1+EXP(-(LN(19)/($E$8-$D$8))*('Firm-Level Dataset'!F9-$D$8))),1/(1+EXP(-(LN(19)/($D$8-$C$8))*('Firm-Level Dataset'!F9-$D$8))))</f>
        <v>0.262011378130262</v>
      </c>
      <c r="F22" s="17" t="n">
        <f aca="false">IF('Firm-Level Dataset'!G9&gt;=$D$9,1/(1+EXP(-(LN(19)/($E$9-$D$9))*('Firm-Level Dataset'!G9-$D$9))),1/(1+EXP(-(LN(19)/($D$9-$C$9))*('Firm-Level Dataset'!G9-$D$9))))</f>
        <v>0.307092166572379</v>
      </c>
      <c r="G22" s="17" t="n">
        <f aca="false">IF('Firm-Level Dataset'!H9&gt;=$D$10,1/(1+EXP(-(LN(19)/($E$10-$D$10))*('Firm-Level Dataset'!H9-$D$10))),1/(1+EXP(-(LN(19)/($D$10-$C$10))*('Firm-Level Dataset'!H9-$D$10))))</f>
        <v>0.219515317124053</v>
      </c>
      <c r="H22" s="17" t="n">
        <f aca="false">IF('Firm-Level Dataset'!I9&gt;=$D$11,1/(1+EXP(-(LN(19)/($E$11-$D$11))*('Firm-Level Dataset'!I9-$D$11))),1/(1+EXP(-(LN(19)/($D$11-$C$11))*('Firm-Level Dataset'!I9-$D$11))))</f>
        <v>0.26256829431456</v>
      </c>
      <c r="I22" s="17" t="n">
        <f aca="false">IF('Firm-Level Dataset'!J9&gt;=$D$12,1/(1+EXP(-(LN(19)/($E$12-$D$12))*('Firm-Level Dataset'!J9-$D$12))),1/(1+EXP(-(LN(19)/($D$12-$C$12))*('Firm-Level Dataset'!J9-$D$12))))</f>
        <v>0.932372780438586</v>
      </c>
    </row>
    <row r="23" customFormat="false" ht="15" hidden="false" customHeight="false" outlineLevel="0" collapsed="false">
      <c r="B23" s="10" t="str">
        <f aca="false">'Firm-Level Dataset'!A10</f>
        <v>KLA Corporation</v>
      </c>
      <c r="C23" s="17" t="n">
        <f aca="false">IF('Firm-Level Dataset'!D10&gt;=$D$6,1/(1+EXP(-(LN(19)/($E$6-$D$6))*('Firm-Level Dataset'!D10-$D$6))),1/(1+EXP(-(LN(19)/($D$6-$C$6))*('Firm-Level Dataset'!D10-$D$6))))</f>
        <v>0.307036270743931</v>
      </c>
      <c r="D23" s="17" t="n">
        <f aca="false">IF('Firm-Level Dataset'!E10&gt;=$D$7,1/(1+EXP(-(LN(19)/($E$7-$D$7))*('Firm-Level Dataset'!E10-$D$7))),1/(1+EXP(-(LN(19)/($D$7-$C$7))*('Firm-Level Dataset'!E10-$D$7))))</f>
        <v>0.200673585971774</v>
      </c>
      <c r="E23" s="17" t="n">
        <f aca="false">IF('Firm-Level Dataset'!F10&gt;=$D$8,1/(1+EXP(-(LN(19)/($E$8-$D$8))*('Firm-Level Dataset'!F10-$D$8))),1/(1+EXP(-(LN(19)/($D$8-$C$8))*('Firm-Level Dataset'!F10-$D$8))))</f>
        <v>0.307036270743931</v>
      </c>
      <c r="F23" s="17" t="n">
        <f aca="false">IF('Firm-Level Dataset'!G10&gt;=$D$9,1/(1+EXP(-(LN(19)/($E$9-$D$9))*('Firm-Level Dataset'!G10-$D$9))),1/(1+EXP(-(LN(19)/($D$9-$C$9))*('Firm-Level Dataset'!G10-$D$9))))</f>
        <v>0.354046833320291</v>
      </c>
      <c r="G23" s="17" t="n">
        <f aca="false">IF('Firm-Level Dataset'!H10&gt;=$D$10,1/(1+EXP(-(LN(19)/($E$10-$D$10))*('Firm-Level Dataset'!H10-$D$10))),1/(1+EXP(-(LN(19)/($D$10-$C$10))*('Firm-Level Dataset'!H10-$D$10))))</f>
        <v>0.262150071953436</v>
      </c>
      <c r="H23" s="17" t="n">
        <f aca="false">IF('Firm-Level Dataset'!I10&gt;=$D$11,1/(1+EXP(-(LN(19)/($E$11-$D$11))*('Firm-Level Dataset'!I10-$D$11))),1/(1+EXP(-(LN(19)/($D$11-$C$11))*('Firm-Level Dataset'!I10-$D$11))))</f>
        <v>0.307004566817463</v>
      </c>
      <c r="I23" s="17" t="n">
        <f aca="false">IF('Firm-Level Dataset'!J10&gt;=$D$12,1/(1+EXP(-(LN(19)/($E$12-$D$12))*('Firm-Level Dataset'!J10-$D$12))),1/(1+EXP(-(LN(19)/($D$12-$C$12))*('Firm-Level Dataset'!J10-$D$12))))</f>
        <v>0.75346541598919</v>
      </c>
    </row>
    <row r="24" customFormat="false" ht="15" hidden="false" customHeight="false" outlineLevel="0" collapsed="false">
      <c r="B24" s="10" t="str">
        <f aca="false">'Firm-Level Dataset'!A11</f>
        <v>Lam Research</v>
      </c>
      <c r="C24" s="17" t="n">
        <f aca="false">IF('Firm-Level Dataset'!D11&gt;=$D$6,1/(1+EXP(-(LN(19)/($E$6-$D$6))*('Firm-Level Dataset'!D11-$D$6))),1/(1+EXP(-(LN(19)/($D$6-$C$6))*('Firm-Level Dataset'!D11-$D$6))))</f>
        <v>0.353980699773394</v>
      </c>
      <c r="D24" s="17" t="n">
        <f aca="false">IF('Firm-Level Dataset'!E11&gt;=$D$7,1/(1+EXP(-(LN(19)/($E$7-$D$7))*('Firm-Level Dataset'!E11-$D$7))),1/(1+EXP(-(LN(19)/($D$7-$C$7))*('Firm-Level Dataset'!E11-$D$7))))</f>
        <v>0.95461559836359</v>
      </c>
      <c r="E24" s="17" t="n">
        <f aca="false">IF('Firm-Level Dataset'!F11&gt;=$D$8,1/(1+EXP(-(LN(19)/($E$8-$D$8))*('Firm-Level Dataset'!F11-$D$8))),1/(1+EXP(-(LN(19)/($D$8-$C$8))*('Firm-Level Dataset'!F11-$D$8))))</f>
        <v>0.353980699773394</v>
      </c>
      <c r="F24" s="17" t="n">
        <f aca="false">IF('Firm-Level Dataset'!G11&gt;=$D$9,1/(1+EXP(-(LN(19)/($E$9-$D$9))*('Firm-Level Dataset'!G11-$D$9))),1/(1+EXP(-(LN(19)/($D$9-$C$9))*('Firm-Level Dataset'!G11-$D$9))))</f>
        <v>0.401804593233585</v>
      </c>
      <c r="G24" s="17" t="n">
        <f aca="false">IF('Firm-Level Dataset'!H11&gt;=$D$10,1/(1+EXP(-(LN(19)/($E$10-$D$10))*('Firm-Level Dataset'!H11-$D$10))),1/(1+EXP(-(LN(19)/($D$10-$C$10))*('Firm-Level Dataset'!H11-$D$10))))</f>
        <v>0.307189385772829</v>
      </c>
      <c r="H24" s="17" t="n">
        <f aca="false">IF('Firm-Level Dataset'!I11&gt;=$D$11,1/(1+EXP(-(LN(19)/($E$11-$D$11))*('Firm-Level Dataset'!I11-$D$11))),1/(1+EXP(-(LN(19)/($D$11-$C$11))*('Firm-Level Dataset'!I11-$D$11))))</f>
        <v>0.353948272773432</v>
      </c>
      <c r="I24" s="17" t="n">
        <f aca="false">IF('Firm-Level Dataset'!J11&gt;=$D$12,1/(1+EXP(-(LN(19)/($E$12-$D$12))*('Firm-Level Dataset'!J11-$D$12))),1/(1+EXP(-(LN(19)/($D$12-$C$12))*('Firm-Level Dataset'!J11-$D$12))))</f>
        <v>0.364110698770371</v>
      </c>
    </row>
    <row r="25" customFormat="false" ht="15" hidden="false" customHeight="false" outlineLevel="0" collapsed="false">
      <c r="B25" s="10" t="str">
        <f aca="false">'Firm-Level Dataset'!A12</f>
        <v>Marvell Technology</v>
      </c>
      <c r="C25" s="17" t="n">
        <f aca="false">IF('Firm-Level Dataset'!D12&gt;=$D$6,1/(1+EXP(-(LN(19)/($E$6-$D$6))*('Firm-Level Dataset'!D12-$D$6))),1/(1+EXP(-(LN(19)/($D$6-$C$6))*('Firm-Level Dataset'!D12-$D$6))))</f>
        <v>0.64638007438048</v>
      </c>
      <c r="D25" s="17" t="n">
        <f aca="false">IF('Firm-Level Dataset'!E12&gt;=$D$7,1/(1+EXP(-(LN(19)/($E$7-$D$7))*('Firm-Level Dataset'!E12-$D$7))),1/(1+EXP(-(LN(19)/($D$7-$C$7))*('Firm-Level Dataset'!E12-$D$7))))</f>
        <v>0.859489417887308</v>
      </c>
      <c r="E25" s="17" t="n">
        <f aca="false">IF('Firm-Level Dataset'!F12&gt;=$D$8,1/(1+EXP(-(LN(19)/($E$8-$D$8))*('Firm-Level Dataset'!F12-$D$8))),1/(1+EXP(-(LN(19)/($D$8-$C$8))*('Firm-Level Dataset'!F12-$D$8))))</f>
        <v>0.401728993462036</v>
      </c>
      <c r="F25" s="17" t="n">
        <f aca="false">IF('Firm-Level Dataset'!G12&gt;=$D$9,1/(1+EXP(-(LN(19)/($E$9-$D$9))*('Firm-Level Dataset'!G12-$D$9))),1/(1+EXP(-(LN(19)/($D$9-$C$9))*('Firm-Level Dataset'!G12-$D$9))))</f>
        <v>0.737802279510948</v>
      </c>
      <c r="G25" s="17" t="n">
        <f aca="false">IF('Firm-Level Dataset'!H12&gt;=$D$10,1/(1+EXP(-(LN(19)/($E$10-$D$10))*('Firm-Level Dataset'!H12-$D$10))),1/(1+EXP(-(LN(19)/($D$10-$C$10))*('Firm-Level Dataset'!H12-$D$10))))</f>
        <v>0.646548017431812</v>
      </c>
      <c r="H25" s="17" t="n">
        <f aca="false">IF('Firm-Level Dataset'!I12&gt;=$D$11,1/(1+EXP(-(LN(19)/($E$11-$D$11))*('Firm-Level Dataset'!I12-$D$11))),1/(1+EXP(-(LN(19)/($D$11-$C$11))*('Firm-Level Dataset'!I12-$D$11))))</f>
        <v>0.401696570451442</v>
      </c>
      <c r="I25" s="17" t="n">
        <f aca="false">IF('Firm-Level Dataset'!J12&gt;=$D$12,1/(1+EXP(-(LN(19)/($E$12-$D$12))*('Firm-Level Dataset'!J12-$D$12))),1/(1+EXP(-(LN(19)/($D$12-$C$12))*('Firm-Level Dataset'!J12-$D$12))))</f>
        <v>0.897550289059209</v>
      </c>
    </row>
    <row r="26" customFormat="false" ht="15" hidden="false" customHeight="false" outlineLevel="0" collapsed="false">
      <c r="B26" s="10" t="str">
        <f aca="false">'Firm-Level Dataset'!A13</f>
        <v>Microchip Technology</v>
      </c>
      <c r="C26" s="17" t="n">
        <f aca="false">IF('Firm-Level Dataset'!D13&gt;=$D$6,1/(1+EXP(-(LN(19)/($E$6-$D$6))*('Firm-Level Dataset'!D13-$D$6))),1/(1+EXP(-(LN(19)/($D$6-$C$6))*('Firm-Level Dataset'!D13-$D$6))))</f>
        <v>0.692653722913624</v>
      </c>
      <c r="D26" s="17" t="n">
        <f aca="false">IF('Firm-Level Dataset'!E13&gt;=$D$7,1/(1+EXP(-(LN(19)/($E$7-$D$7))*('Firm-Level Dataset'!E13-$D$7))),1/(1+EXP(-(LN(19)/($D$7-$C$7))*('Firm-Level Dataset'!E13-$D$7))))</f>
        <v>0.859489417887308</v>
      </c>
      <c r="E26" s="17" t="n">
        <f aca="false">IF('Firm-Level Dataset'!F13&gt;=$D$8,1/(1+EXP(-(LN(19)/($E$8-$D$8))*('Firm-Level Dataset'!F13-$D$8))),1/(1+EXP(-(LN(19)/($D$8-$C$8))*('Firm-Level Dataset'!F13-$D$8))))</f>
        <v>0.450666061384898</v>
      </c>
      <c r="F26" s="17" t="n">
        <f aca="false">IF('Firm-Level Dataset'!G13&gt;=$D$9,1/(1+EXP(-(LN(19)/($E$9-$D$9))*('Firm-Level Dataset'!G13-$D$9))),1/(1+EXP(-(LN(19)/($D$9-$C$9))*('Firm-Level Dataset'!G13-$D$9))))</f>
        <v>0.780447038707668</v>
      </c>
      <c r="G26" s="17" t="n">
        <f aca="false">IF('Firm-Level Dataset'!H13&gt;=$D$10,1/(1+EXP(-(LN(19)/($E$10-$D$10))*('Firm-Level Dataset'!H13-$D$10))),1/(1+EXP(-(LN(19)/($D$10-$C$10))*('Firm-Level Dataset'!H13-$D$10))))</f>
        <v>0.692810614227171</v>
      </c>
      <c r="H26" s="17" t="n">
        <f aca="false">IF('Firm-Level Dataset'!I13&gt;=$D$11,1/(1+EXP(-(LN(19)/($E$11-$D$11))*('Firm-Level Dataset'!I13-$D$11))),1/(1+EXP(-(LN(19)/($D$11-$C$11))*('Firm-Level Dataset'!I13-$D$11))))</f>
        <v>0.450634346327623</v>
      </c>
      <c r="I26" s="17" t="n">
        <f aca="false">IF('Firm-Level Dataset'!J13&gt;=$D$12,1/(1+EXP(-(LN(19)/($E$12-$D$12))*('Firm-Level Dataset'!J13-$D$12))),1/(1+EXP(-(LN(19)/($D$12-$C$12))*('Firm-Level Dataset'!J13-$D$12))))</f>
        <v>0.532425512868064</v>
      </c>
    </row>
    <row r="27" customFormat="false" ht="15" hidden="false" customHeight="false" outlineLevel="0" collapsed="false">
      <c r="B27" s="10" t="str">
        <f aca="false">'Firm-Level Dataset'!A14</f>
        <v>Micron Technology</v>
      </c>
      <c r="C27" s="17" t="n">
        <f aca="false">IF('Firm-Level Dataset'!D14&gt;=$D$6,1/(1+EXP(-(LN(19)/($E$6-$D$6))*('Firm-Level Dataset'!D14-$D$6))),1/(1+EXP(-(LN(19)/($D$6-$C$6))*('Firm-Level Dataset'!D14-$D$6))))</f>
        <v>0.737706868770125</v>
      </c>
      <c r="D27" s="17" t="n">
        <f aca="false">IF('Firm-Level Dataset'!E14&gt;=$D$7,1/(1+EXP(-(LN(19)/($E$7-$D$7))*('Firm-Level Dataset'!E14-$D$7))),1/(1+EXP(-(LN(19)/($D$7-$C$7))*('Firm-Level Dataset'!E14-$D$7))))</f>
        <v>0.0865821686983115</v>
      </c>
      <c r="E27" s="17" t="n">
        <f aca="false">IF('Firm-Level Dataset'!F14&gt;=$D$8,1/(1+EXP(-(LN(19)/($E$8-$D$8))*('Firm-Level Dataset'!F14-$D$8))),1/(1+EXP(-(LN(19)/($D$8-$C$8))*('Firm-Level Dataset'!F14-$D$8))))</f>
        <v>0.499817921621664</v>
      </c>
      <c r="F27" s="17" t="n">
        <f aca="false">IF('Firm-Level Dataset'!G14&gt;=$D$9,1/(1+EXP(-(LN(19)/($E$9-$D$9))*('Firm-Level Dataset'!G14-$D$9))),1/(1+EXP(-(LN(19)/($D$9-$C$9))*('Firm-Level Dataset'!G14-$D$9))))</f>
        <v>0.821011406769649</v>
      </c>
      <c r="G27" s="17" t="n">
        <f aca="false">IF('Firm-Level Dataset'!H14&gt;=$D$10,1/(1+EXP(-(LN(19)/($E$10-$D$10))*('Firm-Level Dataset'!H14-$D$10))),1/(1+EXP(-(LN(19)/($D$10-$C$10))*('Firm-Level Dataset'!H14-$D$10))))</f>
        <v>0.737849928046565</v>
      </c>
      <c r="H27" s="17" t="n">
        <f aca="false">IF('Firm-Level Dataset'!I14&gt;=$D$11,1/(1+EXP(-(LN(19)/($E$11-$D$11))*('Firm-Level Dataset'!I14-$D$11))),1/(1+EXP(-(LN(19)/($D$11-$C$11))*('Firm-Level Dataset'!I14-$D$11))))</f>
        <v>0.499787568019977</v>
      </c>
      <c r="I27" s="17" t="n">
        <f aca="false">IF('Firm-Level Dataset'!J14&gt;=$D$12,1/(1+EXP(-(LN(19)/($E$12-$D$12))*('Firm-Level Dataset'!J14-$D$12))),1/(1+EXP(-(LN(19)/($D$12-$C$12))*('Firm-Level Dataset'!J14-$D$12))))</f>
        <v>0.372618425846076</v>
      </c>
    </row>
    <row r="28" customFormat="false" ht="15" hidden="false" customHeight="false" outlineLevel="0" collapsed="false">
      <c r="B28" s="10" t="str">
        <f aca="false">'Firm-Level Dataset'!A15</f>
        <v>Monolithic Power Systems</v>
      </c>
      <c r="C28" s="17" t="n">
        <f aca="false">IF('Firm-Level Dataset'!D15&gt;=$D$6,1/(1+EXP(-(LN(19)/($E$6-$D$6))*('Firm-Level Dataset'!D15-$D$6))),1/(1+EXP(-(LN(19)/($D$6-$C$6))*('Firm-Level Dataset'!D15-$D$6))))</f>
        <v>0.0738785232009162</v>
      </c>
      <c r="D28" s="17" t="n">
        <f aca="false">IF('Firm-Level Dataset'!E15&gt;=$D$7,1/(1+EXP(-(LN(19)/($E$7-$D$7))*('Firm-Level Dataset'!E15-$D$7))),1/(1+EXP(-(LN(19)/($D$7-$C$7))*('Firm-Level Dataset'!E15-$D$7))))</f>
        <v>0.950535404277113</v>
      </c>
      <c r="E28" s="17" t="n">
        <f aca="false">IF('Firm-Level Dataset'!F15&gt;=$D$8,1/(1+EXP(-(LN(19)/($E$8-$D$8))*('Firm-Level Dataset'!F15-$D$8))),1/(1+EXP(-(LN(19)/($D$8-$C$8))*('Firm-Level Dataset'!F15-$D$8))))</f>
        <v>0.0738785232009162</v>
      </c>
      <c r="F28" s="17" t="n">
        <f aca="false">IF('Firm-Level Dataset'!G15&gt;=$D$9,1/(1+EXP(-(LN(19)/($E$9-$D$9))*('Firm-Level Dataset'!G15-$D$9))),1/(1+EXP(-(LN(19)/($D$9-$C$9))*('Firm-Level Dataset'!G15-$D$9))))</f>
        <v>0.0738818689127081</v>
      </c>
      <c r="G28" s="17" t="n">
        <f aca="false">IF('Firm-Level Dataset'!H15&gt;=$D$10,1/(1+EXP(-(LN(19)/($E$10-$D$10))*('Firm-Level Dataset'!H15-$D$10))),1/(1+EXP(-(LN(19)/($D$10-$C$10))*('Firm-Level Dataset'!H15-$D$10))))</f>
        <v>0.0171023723989275</v>
      </c>
      <c r="H28" s="17" t="n">
        <f aca="false">IF('Firm-Level Dataset'!I15&gt;=$D$11,1/(1+EXP(-(LN(19)/($E$11-$D$11))*('Firm-Level Dataset'!I15-$D$11))),1/(1+EXP(-(LN(19)/($D$11-$C$11))*('Firm-Level Dataset'!I15-$D$11))))</f>
        <v>0.0738643478755987</v>
      </c>
      <c r="I28" s="17" t="n">
        <f aca="false">IF('Firm-Level Dataset'!J15&gt;=$D$12,1/(1+EXP(-(LN(19)/($E$12-$D$12))*('Firm-Level Dataset'!J15-$D$12))),1/(1+EXP(-(LN(19)/($D$12-$C$12))*('Firm-Level Dataset'!J15-$D$12))))</f>
        <v>0.308696787403971</v>
      </c>
    </row>
    <row r="29" customFormat="false" ht="15" hidden="false" customHeight="false" outlineLevel="0" collapsed="false">
      <c r="B29" s="10" t="str">
        <f aca="false">'Firm-Level Dataset'!A16</f>
        <v>NVIDIA Corporation</v>
      </c>
      <c r="C29" s="17" t="n">
        <f aca="false">IF('Firm-Level Dataset'!D16&gt;=$D$6,1/(1+EXP(-(LN(19)/($E$6-$D$6))*('Firm-Level Dataset'!D16-$D$6))),1/(1+EXP(-(LN(19)/($D$6-$C$6))*('Firm-Level Dataset'!D16-$D$6))))</f>
        <v>0.401728993462036</v>
      </c>
      <c r="D29" s="17" t="n">
        <f aca="false">IF('Firm-Level Dataset'!E16&gt;=$D$7,1/(1+EXP(-(LN(19)/($E$7-$D$7))*('Firm-Level Dataset'!E16-$D$7))),1/(1+EXP(-(LN(19)/($D$7-$C$7))*('Firm-Level Dataset'!E16-$D$7))))</f>
        <v>0.95461559836359</v>
      </c>
      <c r="E29" s="17" t="n">
        <f aca="false">IF('Firm-Level Dataset'!F16&gt;=$D$8,1/(1+EXP(-(LN(19)/($E$8-$D$8))*('Firm-Level Dataset'!F16-$D$8))),1/(1+EXP(-(LN(19)/($D$8-$C$8))*('Firm-Level Dataset'!F16-$D$8))))</f>
        <v>0.54972457066756</v>
      </c>
      <c r="F29" s="17" t="n">
        <f aca="false">IF('Firm-Level Dataset'!G16&gt;=$D$9,1/(1+EXP(-(LN(19)/($E$9-$D$9))*('Firm-Level Dataset'!G16-$D$9))),1/(1+EXP(-(LN(19)/($D$9-$C$9))*('Firm-Level Dataset'!G16-$D$9))))</f>
        <v>0.45075011519347</v>
      </c>
      <c r="G29" s="17" t="n">
        <f aca="false">IF('Firm-Level Dataset'!H16&gt;=$D$10,1/(1+EXP(-(LN(19)/($E$10-$D$10))*('Firm-Level Dataset'!H16-$D$10))),1/(1+EXP(-(LN(19)/($D$10-$C$10))*('Firm-Level Dataset'!H16-$D$10))))</f>
        <v>0.353451982568188</v>
      </c>
      <c r="H29" s="17" t="n">
        <f aca="false">IF('Firm-Level Dataset'!I16&gt;=$D$11,1/(1+EXP(-(LN(19)/($E$11-$D$11))*('Firm-Level Dataset'!I16-$D$11))),1/(1+EXP(-(LN(19)/($D$11-$C$11))*('Firm-Level Dataset'!I16-$D$11))))</f>
        <v>0.549696199486639</v>
      </c>
      <c r="I29" s="17" t="n">
        <f aca="false">IF('Firm-Level Dataset'!J16&gt;=$D$12,1/(1+EXP(-(LN(19)/($E$12-$D$12))*('Firm-Level Dataset'!J16-$D$12))),1/(1+EXP(-(LN(19)/($D$12-$C$12))*('Firm-Level Dataset'!J16-$D$12))))</f>
        <v>0.0319919395346045</v>
      </c>
    </row>
    <row r="30" customFormat="false" ht="15" hidden="false" customHeight="false" outlineLevel="0" collapsed="false">
      <c r="B30" s="10" t="str">
        <f aca="false">'Firm-Level Dataset'!A17</f>
        <v>NXP Semiconductors</v>
      </c>
      <c r="C30" s="17" t="n">
        <f aca="false">IF('Firm-Level Dataset'!D17&gt;=$D$6,1/(1+EXP(-(LN(19)/($E$6-$D$6))*('Firm-Level Dataset'!D17-$D$6))),1/(1+EXP(-(LN(19)/($D$6-$C$6))*('Firm-Level Dataset'!D17-$D$6))))</f>
        <v>0.450666061384898</v>
      </c>
      <c r="D30" s="17" t="n">
        <f aca="false">IF('Firm-Level Dataset'!E17&gt;=$D$7,1/(1+EXP(-(LN(19)/($E$7-$D$7))*('Firm-Level Dataset'!E17-$D$7))),1/(1+EXP(-(LN(19)/($D$7-$C$7))*('Firm-Level Dataset'!E17-$D$7))))</f>
        <v>0.200673585971774</v>
      </c>
      <c r="E30" s="17" t="n">
        <f aca="false">IF('Firm-Level Dataset'!F17&gt;=$D$8,1/(1+EXP(-(LN(19)/($E$8-$D$8))*('Firm-Level Dataset'!F17-$D$8))),1/(1+EXP(-(LN(19)/($D$8-$C$8))*('Firm-Level Dataset'!F17-$D$8))))</f>
        <v>0.598650211655902</v>
      </c>
      <c r="F30" s="17" t="n">
        <f aca="false">IF('Firm-Level Dataset'!G17&gt;=$D$9,1/(1+EXP(-(LN(19)/($E$9-$D$9))*('Firm-Level Dataset'!G17-$D$9))),1/(1+EXP(-(LN(19)/($D$9-$C$9))*('Firm-Level Dataset'!G17-$D$9))))</f>
        <v>0.499908949455601</v>
      </c>
      <c r="G30" s="17" t="n">
        <f aca="false">IF('Firm-Level Dataset'!H17&gt;=$D$10,1/(1+EXP(-(LN(19)/($E$10-$D$10))*('Firm-Level Dataset'!H17-$D$10))),1/(1+EXP(-(LN(19)/($D$10-$C$10))*('Firm-Level Dataset'!H17-$D$10))))</f>
        <v>0.401903020503832</v>
      </c>
      <c r="H30" s="17" t="n">
        <f aca="false">IF('Firm-Level Dataset'!I17&gt;=$D$11,1/(1+EXP(-(LN(19)/($E$11-$D$11))*('Firm-Level Dataset'!I17-$D$11))),1/(1+EXP(-(LN(19)/($D$11-$C$11))*('Firm-Level Dataset'!I17-$D$11))))</f>
        <v>0.598624305454725</v>
      </c>
      <c r="I30" s="17" t="n">
        <f aca="false">IF('Firm-Level Dataset'!J17&gt;=$D$12,1/(1+EXP(-(LN(19)/($E$12-$D$12))*('Firm-Level Dataset'!J17-$D$12))),1/(1+EXP(-(LN(19)/($D$12-$C$12))*('Firm-Level Dataset'!J17-$D$12))))</f>
        <v>0.0239019724361942</v>
      </c>
    </row>
    <row r="31" customFormat="false" ht="15" hidden="false" customHeight="false" outlineLevel="0" collapsed="false">
      <c r="B31" s="10" t="str">
        <f aca="false">'Firm-Level Dataset'!A18</f>
        <v>ON Semiconductor</v>
      </c>
      <c r="C31" s="17" t="n">
        <f aca="false">IF('Firm-Level Dataset'!D18&gt;=$D$6,1/(1+EXP(-(LN(19)/($E$6-$D$6))*('Firm-Level Dataset'!D18-$D$6))),1/(1+EXP(-(LN(19)/($D$6-$C$6))*('Firm-Level Dataset'!D18-$D$6))))</f>
        <v>0.858742221913586</v>
      </c>
      <c r="D31" s="17" t="n">
        <f aca="false">IF('Firm-Level Dataset'!E18&gt;=$D$7,1/(1+EXP(-(LN(19)/($E$7-$D$7))*('Firm-Level Dataset'!E18-$D$7))),1/(1+EXP(-(LN(19)/($D$7-$C$7))*('Firm-Level Dataset'!E18-$D$7))))</f>
        <v>0.0431419777212069</v>
      </c>
      <c r="E31" s="17" t="n">
        <f aca="false">IF('Firm-Level Dataset'!F18&gt;=$D$8,1/(1+EXP(-(LN(19)/($E$8-$D$8))*('Firm-Level Dataset'!F18-$D$8))),1/(1+EXP(-(LN(19)/($D$8-$C$8))*('Firm-Level Dataset'!F18-$D$8))))</f>
        <v>0.64638007438048</v>
      </c>
      <c r="F31" s="17" t="n">
        <f aca="false">IF('Firm-Level Dataset'!G18&gt;=$D$9,1/(1+EXP(-(LN(19)/($E$9-$D$9))*('Firm-Level Dataset'!G18-$D$9))),1/(1+EXP(-(LN(19)/($D$9-$C$9))*('Firm-Level Dataset'!G18-$D$9))))</f>
        <v>0.692752816987928</v>
      </c>
      <c r="G31" s="17" t="n">
        <f aca="false">IF('Firm-Level Dataset'!H18&gt;=$D$10,1/(1+EXP(-(LN(19)/($E$10-$D$10))*('Firm-Level Dataset'!H18-$D$10))),1/(1+EXP(-(LN(19)/($D$10-$C$10))*('Firm-Level Dataset'!H18-$D$10))))</f>
        <v>0.858832906697689</v>
      </c>
      <c r="H31" s="17" t="n">
        <f aca="false">IF('Firm-Level Dataset'!I18&gt;=$D$11,1/(1+EXP(-(LN(19)/($E$11-$D$11))*('Firm-Level Dataset'!I18-$D$11))),1/(1+EXP(-(LN(19)/($D$11-$C$11))*('Firm-Level Dataset'!I18-$D$11))))</f>
        <v>0.646357006202499</v>
      </c>
      <c r="I31" s="17" t="n">
        <f aca="false">IF('Firm-Level Dataset'!J18&gt;=$D$12,1/(1+EXP(-(LN(19)/($E$12-$D$12))*('Firm-Level Dataset'!J18-$D$12))),1/(1+EXP(-(LN(19)/($D$12-$C$12))*('Firm-Level Dataset'!J18-$D$12))))</f>
        <v>0.374329673024481</v>
      </c>
    </row>
    <row r="32" customFormat="false" ht="15" hidden="false" customHeight="false" outlineLevel="0" collapsed="false">
      <c r="B32" s="10" t="str">
        <f aca="false">'Firm-Level Dataset'!A19</f>
        <v>Qorvo Inc.</v>
      </c>
      <c r="C32" s="17" t="n">
        <f aca="false">IF('Firm-Level Dataset'!D19&gt;=$D$6,1/(1+EXP(-(LN(19)/($E$6-$D$6))*('Firm-Level Dataset'!D19-$D$6))),1/(1+EXP(-(LN(19)/($D$6-$C$6))*('Firm-Level Dataset'!D19-$D$6))))</f>
        <v>0.955523249216616</v>
      </c>
      <c r="D32" s="17" t="n">
        <f aca="false">IF('Firm-Level Dataset'!E19&gt;=$D$7,1/(1+EXP(-(LN(19)/($E$7-$D$7))*('Firm-Level Dataset'!E19-$D$7))),1/(1+EXP(-(LN(19)/($D$7-$C$7))*('Firm-Level Dataset'!E19-$D$7))))</f>
        <v>0.7839619839522</v>
      </c>
      <c r="E32" s="17" t="n">
        <f aca="false">IF('Firm-Level Dataset'!F19&gt;=$D$8,1/(1+EXP(-(LN(19)/($E$8-$D$8))*('Firm-Level Dataset'!F19-$D$8))),1/(1+EXP(-(LN(19)/($D$8-$C$8))*('Firm-Level Dataset'!F19-$D$8))))</f>
        <v>0.926021751782426</v>
      </c>
      <c r="F32" s="17" t="n">
        <f aca="false">IF('Firm-Level Dataset'!G19&gt;=$D$9,1/(1+EXP(-(LN(19)/($E$9-$D$9))*('Firm-Level Dataset'!G19-$D$9))),1/(1+EXP(-(LN(19)/($D$9-$C$9))*('Firm-Level Dataset'!G19-$D$9))))</f>
        <v>0.926068275756876</v>
      </c>
      <c r="G32" s="17" t="n">
        <f aca="false">IF('Firm-Level Dataset'!H19&gt;=$D$10,1/(1+EXP(-(LN(19)/($E$10-$D$10))*('Firm-Level Dataset'!H19-$D$10))),1/(1+EXP(-(LN(19)/($D$10-$C$10))*('Firm-Level Dataset'!H19-$D$10))))</f>
        <v>0.955555596224815</v>
      </c>
      <c r="H32" s="17" t="n">
        <f aca="false">IF('Firm-Level Dataset'!I19&gt;=$D$11,1/(1+EXP(-(LN(19)/($E$11-$D$11))*('Firm-Level Dataset'!I19-$D$11))),1/(1+EXP(-(LN(19)/($D$11-$C$11))*('Firm-Level Dataset'!I19-$D$11))))</f>
        <v>0.926019310826107</v>
      </c>
      <c r="I32" s="17" t="n">
        <f aca="false">IF('Firm-Level Dataset'!J19&gt;=$D$12,1/(1+EXP(-(LN(19)/($E$12-$D$12))*('Firm-Level Dataset'!J19-$D$12))),1/(1+EXP(-(LN(19)/($D$12-$C$12))*('Firm-Level Dataset'!J19-$D$12))))</f>
        <v>0.640145587083759</v>
      </c>
    </row>
    <row r="33" customFormat="false" ht="15" hidden="false" customHeight="false" outlineLevel="0" collapsed="false">
      <c r="B33" s="10" t="str">
        <f aca="false">'Firm-Level Dataset'!A20</f>
        <v>Qualcomm Incorporated</v>
      </c>
      <c r="C33" s="17" t="n">
        <f aca="false">IF('Firm-Level Dataset'!D20&gt;=$D$6,1/(1+EXP(-(LN(19)/($E$6-$D$6))*('Firm-Level Dataset'!D20-$D$6))),1/(1+EXP(-(LN(19)/($D$6-$C$6))*('Firm-Level Dataset'!D20-$D$6))))</f>
        <v>0.499817921621663</v>
      </c>
      <c r="D33" s="17" t="n">
        <f aca="false">IF('Firm-Level Dataset'!E20&gt;=$D$7,1/(1+EXP(-(LN(19)/($E$7-$D$7))*('Firm-Level Dataset'!E20-$D$7))),1/(1+EXP(-(LN(19)/($D$7-$C$7))*('Firm-Level Dataset'!E20-$D$7))))</f>
        <v>0.200673585971774</v>
      </c>
      <c r="E33" s="17" t="n">
        <f aca="false">IF('Firm-Level Dataset'!F20&gt;=$D$8,1/(1+EXP(-(LN(19)/($E$8-$D$8))*('Firm-Level Dataset'!F20-$D$8))),1/(1+EXP(-(LN(19)/($D$8-$C$8))*('Firm-Level Dataset'!F20-$D$8))))</f>
        <v>0.692653722913624</v>
      </c>
      <c r="F33" s="17" t="n">
        <f aca="false">IF('Firm-Level Dataset'!G20&gt;=$D$9,1/(1+EXP(-(LN(19)/($E$9-$D$9))*('Firm-Level Dataset'!G20-$D$9))),1/(1+EXP(-(LN(19)/($D$9-$C$9))*('Firm-Level Dataset'!G20-$D$9))))</f>
        <v>0.549820878332666</v>
      </c>
      <c r="G33" s="17" t="n">
        <f aca="false">IF('Firm-Level Dataset'!H20&gt;=$D$10,1/(1+EXP(-(LN(19)/($E$10-$D$10))*('Firm-Level Dataset'!H20-$D$10))),1/(1+EXP(-(LN(19)/($D$10-$C$10))*('Firm-Level Dataset'!H20-$D$10))))</f>
        <v>0.450845847047933</v>
      </c>
      <c r="H33" s="17" t="n">
        <f aca="false">IF('Firm-Level Dataset'!I20&gt;=$D$11,1/(1+EXP(-(LN(19)/($E$11-$D$11))*('Firm-Level Dataset'!I20-$D$11))),1/(1+EXP(-(LN(19)/($D$11-$C$11))*('Firm-Level Dataset'!I20-$D$11))))</f>
        <v>0.692633750695385</v>
      </c>
      <c r="I33" s="17" t="n">
        <f aca="false">IF('Firm-Level Dataset'!J20&gt;=$D$12,1/(1+EXP(-(LN(19)/($E$12-$D$12))*('Firm-Level Dataset'!J20-$D$12))),1/(1+EXP(-(LN(19)/($D$12-$C$12))*('Firm-Level Dataset'!J20-$D$12))))</f>
        <v>0.726756470370646</v>
      </c>
    </row>
    <row r="34" customFormat="false" ht="15" hidden="false" customHeight="false" outlineLevel="0" collapsed="false">
      <c r="B34" s="10" t="str">
        <f aca="false">'Firm-Level Dataset'!A21</f>
        <v>STMicroelectronics</v>
      </c>
      <c r="C34" s="17" t="n">
        <f aca="false">IF('Firm-Level Dataset'!D21&gt;=$D$6,1/(1+EXP(-(LN(19)/($E$6-$D$6))*('Firm-Level Dataset'!D21-$D$6))),1/(1+EXP(-(LN(19)/($D$6-$C$6))*('Firm-Level Dataset'!D21-$D$6))))</f>
        <v>0.894033803808507</v>
      </c>
      <c r="D34" s="17" t="n">
        <f aca="false">IF('Firm-Level Dataset'!E21&gt;=$D$7,1/(1+EXP(-(LN(19)/($E$7-$D$7))*('Firm-Level Dataset'!E21-$D$7))),1/(1+EXP(-(LN(19)/($D$7-$C$7))*('Firm-Level Dataset'!E21-$D$7))))</f>
        <v>0.473315419426636</v>
      </c>
      <c r="E34" s="17" t="n">
        <f aca="false">IF('Firm-Level Dataset'!F21&gt;=$D$8,1/(1+EXP(-(LN(19)/($E$8-$D$8))*('Firm-Level Dataset'!F21-$D$8))),1/(1+EXP(-(LN(19)/($D$8-$C$8))*('Firm-Level Dataset'!F21-$D$8))))</f>
        <v>0.982884645572066</v>
      </c>
      <c r="F34" s="17" t="n">
        <f aca="false">IF('Firm-Level Dataset'!G21&gt;=$D$9,1/(1+EXP(-(LN(19)/($E$9-$D$9))*('Firm-Level Dataset'!G21-$D$9))),1/(1+EXP(-(LN(19)/($D$9-$C$9))*('Firm-Level Dataset'!G21-$D$9))))</f>
        <v>0.982899262909209</v>
      </c>
      <c r="G34" s="17" t="n">
        <f aca="false">IF('Firm-Level Dataset'!H21&gt;=$D$10,1/(1+EXP(-(LN(19)/($E$10-$D$10))*('Firm-Level Dataset'!H21-$D$10))),1/(1+EXP(-(LN(19)/($D$10-$C$10))*('Firm-Level Dataset'!H21-$D$10))))</f>
        <v>0.893817290051873</v>
      </c>
      <c r="H34" s="17" t="n">
        <f aca="false">IF('Firm-Level Dataset'!I21&gt;=$D$11,1/(1+EXP(-(LN(19)/($E$11-$D$11))*('Firm-Level Dataset'!I21-$D$11))),1/(1+EXP(-(LN(19)/($D$11-$C$11))*('Firm-Level Dataset'!I21-$D$11))))</f>
        <v>0.982884915832083</v>
      </c>
      <c r="I34" s="17" t="n">
        <f aca="false">IF('Firm-Level Dataset'!J21&gt;=$D$12,1/(1+EXP(-(LN(19)/($E$12-$D$12))*('Firm-Level Dataset'!J21-$D$12))),1/(1+EXP(-(LN(19)/($D$12-$C$12))*('Firm-Level Dataset'!J21-$D$12))))</f>
        <v>0.682685758153818</v>
      </c>
    </row>
    <row r="35" customFormat="false" ht="15" hidden="false" customHeight="false" outlineLevel="0" collapsed="false">
      <c r="B35" s="10" t="str">
        <f aca="false">'Firm-Level Dataset'!A22</f>
        <v>Seagate Technology</v>
      </c>
      <c r="C35" s="17" t="n">
        <f aca="false">IF('Firm-Level Dataset'!D22&gt;=$D$6,1/(1+EXP(-(LN(19)/($E$6-$D$6))*('Firm-Level Dataset'!D22-$D$6))),1/(1+EXP(-(LN(19)/($D$6-$C$6))*('Firm-Level Dataset'!D22-$D$6))))</f>
        <v>0.780877225917896</v>
      </c>
      <c r="D35" s="17" t="n">
        <f aca="false">IF('Firm-Level Dataset'!E22&gt;=$D$7,1/(1+EXP(-(LN(19)/($E$7-$D$7))*('Firm-Level Dataset'!E22-$D$7))),1/(1+EXP(-(LN(19)/($D$7-$C$7))*('Firm-Level Dataset'!E22-$D$7))))</f>
        <v>0.640139840647645</v>
      </c>
      <c r="E35" s="17" t="n">
        <f aca="false">IF('Firm-Level Dataset'!F22&gt;=$D$8,1/(1+EXP(-(LN(19)/($E$8-$D$8))*('Firm-Level Dataset'!F22-$D$8))),1/(1+EXP(-(LN(19)/($D$8-$C$8))*('Firm-Level Dataset'!F22-$D$8))))</f>
        <v>0.737706868770126</v>
      </c>
      <c r="F35" s="17" t="n">
        <f aca="false">IF('Firm-Level Dataset'!G22&gt;=$D$9,1/(1+EXP(-(LN(19)/($E$9-$D$9))*('Firm-Level Dataset'!G22-$D$9))),1/(1+EXP(-(LN(19)/($D$9-$C$9))*('Firm-Level Dataset'!G22-$D$9))))</f>
        <v>0.858813686845309</v>
      </c>
      <c r="G35" s="17" t="n">
        <f aca="false">IF('Firm-Level Dataset'!H22&gt;=$D$10,1/(1+EXP(-(LN(19)/($E$10-$D$10))*('Firm-Level Dataset'!H22-$D$10))),1/(1+EXP(-(LN(19)/($D$10-$C$10))*('Firm-Level Dataset'!H22-$D$10))))</f>
        <v>0.780484682875947</v>
      </c>
      <c r="H35" s="17" t="n">
        <f aca="false">IF('Firm-Level Dataset'!I22&gt;=$D$11,1/(1+EXP(-(LN(19)/($E$11-$D$11))*('Firm-Level Dataset'!I22-$D$11))),1/(1+EXP(-(LN(19)/($D$11-$C$11))*('Firm-Level Dataset'!I22-$D$11))))</f>
        <v>0.737690170195051</v>
      </c>
      <c r="I35" s="17" t="n">
        <f aca="false">IF('Firm-Level Dataset'!J22&gt;=$D$12,1/(1+EXP(-(LN(19)/($E$12-$D$12))*('Firm-Level Dataset'!J22-$D$12))),1/(1+EXP(-(LN(19)/($D$12-$C$12))*('Firm-Level Dataset'!J22-$D$12))))</f>
        <v>0.164473935632469</v>
      </c>
    </row>
    <row r="36" customFormat="false" ht="15" hidden="false" customHeight="false" outlineLevel="0" collapsed="false">
      <c r="B36" s="10" t="str">
        <f aca="false">'Firm-Level Dataset'!A23</f>
        <v>Skyworks Solutions</v>
      </c>
      <c r="C36" s="17" t="n">
        <f aca="false">IF('Firm-Level Dataset'!D23&gt;=$D$6,1/(1+EXP(-(LN(19)/($E$6-$D$6))*('Firm-Level Dataset'!D23-$D$6))),1/(1+EXP(-(LN(19)/($D$6-$C$6))*('Firm-Level Dataset'!D23-$D$6))))</f>
        <v>0.54972457066756</v>
      </c>
      <c r="D36" s="17" t="n">
        <f aca="false">IF('Firm-Level Dataset'!E23&gt;=$D$7,1/(1+EXP(-(LN(19)/($E$7-$D$7))*('Firm-Level Dataset'!E23-$D$7))),1/(1+EXP(-(LN(19)/($D$7-$C$7))*('Firm-Level Dataset'!E23-$D$7))))</f>
        <v>0.200673585971774</v>
      </c>
      <c r="E36" s="17" t="n">
        <f aca="false">IF('Firm-Level Dataset'!F23&gt;=$D$8,1/(1+EXP(-(LN(19)/($E$8-$D$8))*('Firm-Level Dataset'!F23-$D$8))),1/(1+EXP(-(LN(19)/($D$8-$C$8))*('Firm-Level Dataset'!F23-$D$8))))</f>
        <v>0.780877225917896</v>
      </c>
      <c r="F36" s="17" t="n">
        <f aca="false">IF('Firm-Level Dataset'!G23&gt;=$D$9,1/(1+EXP(-(LN(19)/($E$9-$D$9))*('Firm-Level Dataset'!G23-$D$9))),1/(1+EXP(-(LN(19)/($D$9-$C$9))*('Firm-Level Dataset'!G23-$D$9))))</f>
        <v>0.598020316680864</v>
      </c>
      <c r="G36" s="17" t="n">
        <f aca="false">IF('Firm-Level Dataset'!H23&gt;=$D$10,1/(1+EXP(-(LN(19)/($E$10-$D$10))*('Firm-Level Dataset'!H23-$D$10))),1/(1+EXP(-(LN(19)/($D$10-$C$10))*('Firm-Level Dataset'!H23-$D$10))))</f>
        <v>0.5</v>
      </c>
      <c r="H36" s="17" t="n">
        <f aca="false">IF('Firm-Level Dataset'!I23&gt;=$D$11,1/(1+EXP(-(LN(19)/($E$11-$D$11))*('Firm-Level Dataset'!I23-$D$11))),1/(1+EXP(-(LN(19)/($D$11-$C$11))*('Firm-Level Dataset'!I23-$D$11))))</f>
        <v>0.780863833811503</v>
      </c>
      <c r="I36" s="17" t="n">
        <f aca="false">IF('Firm-Level Dataset'!J23&gt;=$D$12,1/(1+EXP(-(LN(19)/($E$12-$D$12))*('Firm-Level Dataset'!J23-$D$12))),1/(1+EXP(-(LN(19)/($D$12-$C$12))*('Firm-Level Dataset'!J23-$D$12))))</f>
        <v>0.976524249075414</v>
      </c>
    </row>
    <row r="37" customFormat="false" ht="15" hidden="false" customHeight="false" outlineLevel="0" collapsed="false">
      <c r="B37" s="10" t="str">
        <f aca="false">'Firm-Level Dataset'!A24</f>
        <v>Taiwan Semiconductor Mfg</v>
      </c>
      <c r="C37" s="17" t="n">
        <f aca="false">IF('Firm-Level Dataset'!D24&gt;=$D$6,1/(1+EXP(-(LN(19)/($E$6-$D$6))*('Firm-Level Dataset'!D24-$D$6))),1/(1+EXP(-(LN(19)/($D$6-$C$6))*('Firm-Level Dataset'!D24-$D$6))))</f>
        <v>0.0170908676644779</v>
      </c>
      <c r="D37" s="17" t="n">
        <f aca="false">IF('Firm-Level Dataset'!E24&gt;=$D$7,1/(1+EXP(-(LN(19)/($E$7-$D$7))*('Firm-Level Dataset'!E24-$D$7))),1/(1+EXP(-(LN(19)/($D$7-$C$7))*('Firm-Level Dataset'!E24-$D$7))))</f>
        <v>0.325325795301864</v>
      </c>
      <c r="E37" s="17" t="n">
        <f aca="false">IF('Firm-Level Dataset'!F24&gt;=$D$8,1/(1+EXP(-(LN(19)/($E$8-$D$8))*('Firm-Level Dataset'!F24-$D$8))),1/(1+EXP(-(LN(19)/($D$8-$C$8))*('Firm-Level Dataset'!F24-$D$8))))</f>
        <v>0.106115785931744</v>
      </c>
      <c r="F37" s="17" t="n">
        <f aca="false">IF('Firm-Level Dataset'!G24&gt;=$D$9,1/(1+EXP(-(LN(19)/($E$9-$D$9))*('Firm-Level Dataset'!G24-$D$9))),1/(1+EXP(-(LN(19)/($D$9-$C$9))*('Firm-Level Dataset'!G24-$D$9))))</f>
        <v>0.106125126648282</v>
      </c>
      <c r="G37" s="17" t="n">
        <f aca="false">IF('Firm-Level Dataset'!H24&gt;=$D$10,1/(1+EXP(-(LN(19)/($E$10-$D$10))*('Firm-Level Dataset'!H24-$D$10))),1/(1+EXP(-(LN(19)/($D$10-$C$10))*('Firm-Level Dataset'!H24-$D$10))))</f>
        <v>0.0739265041206506</v>
      </c>
      <c r="H37" s="17" t="n">
        <f aca="false">IF('Firm-Level Dataset'!I24&gt;=$D$11,1/(1+EXP(-(LN(19)/($E$11-$D$11))*('Firm-Level Dataset'!I24-$D$11))),1/(1+EXP(-(LN(19)/($D$11-$C$11))*('Firm-Level Dataset'!I24-$D$11))))</f>
        <v>0.106097413184981</v>
      </c>
      <c r="I37" s="17" t="n">
        <f aca="false">IF('Firm-Level Dataset'!J24&gt;=$D$12,1/(1+EXP(-(LN(19)/($E$12-$D$12))*('Firm-Level Dataset'!J24-$D$12))),1/(1+EXP(-(LN(19)/($D$12-$C$12))*('Firm-Level Dataset'!J24-$D$12))))</f>
        <v>0.0831330514009124</v>
      </c>
    </row>
    <row r="38" customFormat="false" ht="15" hidden="false" customHeight="false" outlineLevel="0" collapsed="false">
      <c r="B38" s="10" t="str">
        <f aca="false">'Firm-Level Dataset'!A25</f>
        <v>Teradyne Inc.</v>
      </c>
      <c r="C38" s="17" t="n">
        <f aca="false">IF('Firm-Level Dataset'!D25&gt;=$D$6,1/(1+EXP(-(LN(19)/($E$6-$D$6))*('Firm-Level Dataset'!D25-$D$6))),1/(1+EXP(-(LN(19)/($D$6-$C$6))*('Firm-Level Dataset'!D25-$D$6))))</f>
        <v>0.982884645572065</v>
      </c>
      <c r="D38" s="17" t="n">
        <f aca="false">IF('Firm-Level Dataset'!E25&gt;=$D$7,1/(1+EXP(-(LN(19)/($E$7-$D$7))*('Firm-Level Dataset'!E25-$D$7))),1/(1+EXP(-(LN(19)/($D$7-$C$7))*('Firm-Level Dataset'!E25-$D$7))))</f>
        <v>0.7839619839522</v>
      </c>
      <c r="E38" s="17" t="n">
        <f aca="false">IF('Firm-Level Dataset'!F25&gt;=$D$8,1/(1+EXP(-(LN(19)/($E$8-$D$8))*('Firm-Level Dataset'!F25-$D$8))),1/(1+EXP(-(LN(19)/($D$8-$C$8))*('Firm-Level Dataset'!F25-$D$8))))</f>
        <v>0.955523249216616</v>
      </c>
      <c r="F38" s="17" t="n">
        <f aca="false">IF('Firm-Level Dataset'!G25&gt;=$D$9,1/(1+EXP(-(LN(19)/($E$9-$D$9))*('Firm-Level Dataset'!G25-$D$9))),1/(1+EXP(-(LN(19)/($D$9-$C$9))*('Firm-Level Dataset'!G25-$D$9))))</f>
        <v>0.955554971297325</v>
      </c>
      <c r="G38" s="17" t="n">
        <f aca="false">IF('Firm-Level Dataset'!H25&gt;=$D$10,1/(1+EXP(-(LN(19)/($E$10-$D$10))*('Firm-Level Dataset'!H25-$D$10))),1/(1+EXP(-(LN(19)/($D$10-$C$10))*('Firm-Level Dataset'!H25-$D$10))))</f>
        <v>0.982897627601073</v>
      </c>
      <c r="H38" s="17" t="n">
        <f aca="false">IF('Firm-Level Dataset'!I25&gt;=$D$11,1/(1+EXP(-(LN(19)/($E$11-$D$11))*('Firm-Level Dataset'!I25-$D$11))),1/(1+EXP(-(LN(19)/($D$11-$C$11))*('Firm-Level Dataset'!I25-$D$11))))</f>
        <v>0.955522513970899</v>
      </c>
      <c r="I38" s="17" t="n">
        <f aca="false">IF('Firm-Level Dataset'!J25&gt;=$D$12,1/(1+EXP(-(LN(19)/($E$12-$D$12))*('Firm-Level Dataset'!J25-$D$12))),1/(1+EXP(-(LN(19)/($D$12-$C$12))*('Firm-Level Dataset'!J25-$D$12))))</f>
        <v>0.971946814241624</v>
      </c>
    </row>
    <row r="39" customFormat="false" ht="15" hidden="false" customHeight="false" outlineLevel="0" collapsed="false">
      <c r="B39" s="10" t="str">
        <f aca="false">'Firm-Level Dataset'!A26</f>
        <v>Texas Instruments</v>
      </c>
      <c r="C39" s="17" t="n">
        <f aca="false">IF('Firm-Level Dataset'!D26&gt;=$D$6,1/(1+EXP(-(LN(19)/($E$6-$D$6))*('Firm-Level Dataset'!D26-$D$6))),1/(1+EXP(-(LN(19)/($D$6-$C$6))*('Firm-Level Dataset'!D26-$D$6))))</f>
        <v>0.598650211655902</v>
      </c>
      <c r="D39" s="17" t="n">
        <f aca="false">IF('Firm-Level Dataset'!E26&gt;=$D$7,1/(1+EXP(-(LN(19)/($E$7-$D$7))*('Firm-Level Dataset'!E26-$D$7))),1/(1+EXP(-(LN(19)/($D$7-$C$7))*('Firm-Level Dataset'!E26-$D$7))))</f>
        <v>0.448371368342793</v>
      </c>
      <c r="E39" s="17" t="n">
        <f aca="false">IF('Firm-Level Dataset'!F26&gt;=$D$8,1/(1+EXP(-(LN(19)/($E$8-$D$8))*('Firm-Level Dataset'!F26-$D$8))),1/(1+EXP(-(LN(19)/($D$8-$C$8))*('Firm-Level Dataset'!F26-$D$8))))</f>
        <v>0.820929970517771</v>
      </c>
      <c r="F39" s="17" t="n">
        <f aca="false">IF('Firm-Level Dataset'!G26&gt;=$D$9,1/(1+EXP(-(LN(19)/($E$9-$D$9))*('Firm-Level Dataset'!G26-$D$9))),1/(1+EXP(-(LN(19)/($D$9-$C$9))*('Firm-Level Dataset'!G26-$D$9))))</f>
        <v>0.646480506125829</v>
      </c>
      <c r="G39" s="17" t="n">
        <f aca="false">IF('Firm-Level Dataset'!H26&gt;=$D$10,1/(1+EXP(-(LN(19)/($E$10-$D$10))*('Firm-Level Dataset'!H26-$D$10))),1/(1+EXP(-(LN(19)/($D$10-$C$10))*('Firm-Level Dataset'!H26-$D$10))))</f>
        <v>0.549154152952068</v>
      </c>
      <c r="H39" s="17" t="n">
        <f aca="false">IF('Firm-Level Dataset'!I26&gt;=$D$11,1/(1+EXP(-(LN(19)/($E$11-$D$11))*('Firm-Level Dataset'!I26-$D$11))),1/(1+EXP(-(LN(19)/($D$11-$C$11))*('Firm-Level Dataset'!I26-$D$11))))</f>
        <v>0.820919721493259</v>
      </c>
      <c r="I39" s="17" t="n">
        <f aca="false">IF('Firm-Level Dataset'!J26&gt;=$D$12,1/(1+EXP(-(LN(19)/($E$12-$D$12))*('Firm-Level Dataset'!J26-$D$12))),1/(1+EXP(-(LN(19)/($D$12-$C$12))*('Firm-Level Dataset'!J26-$D$12))))</f>
        <v>0.0981733671919635</v>
      </c>
    </row>
    <row r="40" customFormat="false" ht="15" hidden="false" customHeight="false" outlineLevel="0" collapsed="false">
      <c r="B40" s="10" t="str">
        <f aca="false">'Firm-Level Dataset'!A27</f>
        <v>Western Digital</v>
      </c>
      <c r="C40" s="17" t="n">
        <f aca="false">IF('Firm-Level Dataset'!D27&gt;=$D$6,1/(1+EXP(-(LN(19)/($E$6-$D$6))*('Firm-Level Dataset'!D27-$D$6))),1/(1+EXP(-(LN(19)/($D$6-$C$6))*('Firm-Level Dataset'!D27-$D$6))))</f>
        <v>0.820929970517771</v>
      </c>
      <c r="D40" s="17" t="n">
        <f aca="false">IF('Firm-Level Dataset'!E27&gt;=$D$7,1/(1+EXP(-(LN(19)/($E$7-$D$7))*('Firm-Level Dataset'!E27-$D$7))),1/(1+EXP(-(LN(19)/($D$7-$C$7))*('Firm-Level Dataset'!E27-$D$7))))</f>
        <v>0.453343494818098</v>
      </c>
      <c r="E40" s="17" t="n">
        <f aca="false">IF('Firm-Level Dataset'!F27&gt;=$D$8,1/(1+EXP(-(LN(19)/($E$8-$D$8))*('Firm-Level Dataset'!F27-$D$8))),1/(1+EXP(-(LN(19)/($D$8-$C$8))*('Firm-Level Dataset'!F27-$D$8))))</f>
        <v>0.858742221913586</v>
      </c>
      <c r="F40" s="17" t="n">
        <f aca="false">IF('Firm-Level Dataset'!G27&gt;=$D$9,1/(1+EXP(-(LN(19)/($E$9-$D$9))*('Firm-Level Dataset'!G27-$D$9))),1/(1+EXP(-(LN(19)/($D$9-$C$9))*('Firm-Level Dataset'!G27-$D$9))))</f>
        <v>0.141098015212762</v>
      </c>
      <c r="G40" s="17" t="n">
        <f aca="false">IF('Firm-Level Dataset'!H27&gt;=$D$10,1/(1+EXP(-(LN(19)/($E$10-$D$10))*('Firm-Level Dataset'!H27-$D$10))),1/(1+EXP(-(LN(19)/($D$10-$C$10))*('Firm-Level Dataset'!H27-$D$10))))</f>
        <v>0.598096979496169</v>
      </c>
      <c r="H40" s="17" t="n">
        <f aca="false">IF('Firm-Level Dataset'!I27&gt;=$D$11,1/(1+EXP(-(LN(19)/($E$11-$D$11))*('Firm-Level Dataset'!I27-$D$11))),1/(1+EXP(-(LN(19)/($D$11-$C$11))*('Firm-Level Dataset'!I27-$D$11))))</f>
        <v>0.858734926464564</v>
      </c>
      <c r="I40" s="17" t="n">
        <f aca="false">IF('Firm-Level Dataset'!J27&gt;=$D$12,1/(1+EXP(-(LN(19)/($E$12-$D$12))*('Firm-Level Dataset'!J27-$D$12))),1/(1+EXP(-(LN(19)/($D$12-$C$12))*('Firm-Level Dataset'!J27-$D$12))))</f>
        <v>0.434126580889001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3"/>
    <col collapsed="false" customWidth="true" hidden="false" outlineLevel="0" max="9" min="9" style="0" width="30"/>
  </cols>
  <sheetData>
    <row r="2" customFormat="false" ht="15" hidden="false" customHeight="false" outlineLevel="0" collapsed="false">
      <c r="B2" s="13" t="s">
        <v>111</v>
      </c>
    </row>
    <row r="3" customFormat="false" ht="15" hidden="false" customHeight="false" outlineLevel="0" collapsed="false">
      <c r="B3" s="14" t="s">
        <v>112</v>
      </c>
    </row>
    <row r="5" customFormat="false" ht="23.85" hidden="false" customHeight="false" outlineLevel="0" collapsed="false">
      <c r="B5" s="8" t="s">
        <v>21</v>
      </c>
      <c r="C5" s="8" t="s">
        <v>104</v>
      </c>
      <c r="D5" s="8" t="s">
        <v>105</v>
      </c>
      <c r="E5" s="8" t="s">
        <v>106</v>
      </c>
      <c r="F5" s="8" t="s">
        <v>107</v>
      </c>
      <c r="G5" s="8" t="s">
        <v>108</v>
      </c>
      <c r="H5" s="8" t="s">
        <v>109</v>
      </c>
      <c r="I5" s="8" t="s">
        <v>113</v>
      </c>
    </row>
    <row r="6" customFormat="false" ht="15" hidden="false" customHeight="false" outlineLevel="0" collapsed="false">
      <c r="B6" s="10" t="s">
        <v>59</v>
      </c>
      <c r="C6" s="16" t="n">
        <v>0.693</v>
      </c>
      <c r="D6" s="16" t="n">
        <v>0.86</v>
      </c>
      <c r="E6" s="18" t="n">
        <v>0.451</v>
      </c>
      <c r="F6" s="16" t="n">
        <v>0.78</v>
      </c>
      <c r="G6" s="16" t="n">
        <v>0.693</v>
      </c>
      <c r="H6" s="18" t="n">
        <v>0.451</v>
      </c>
      <c r="I6" s="19" t="s">
        <v>114</v>
      </c>
    </row>
    <row r="7" customFormat="false" ht="15" hidden="false" customHeight="false" outlineLevel="0" collapsed="false">
      <c r="B7" s="10" t="s">
        <v>61</v>
      </c>
      <c r="C7" s="16" t="n">
        <v>0.738</v>
      </c>
      <c r="D7" s="16" t="n">
        <v>0.087</v>
      </c>
      <c r="E7" s="18" t="n">
        <v>0.5</v>
      </c>
      <c r="F7" s="16" t="n">
        <v>0.821</v>
      </c>
      <c r="G7" s="16" t="n">
        <v>0.738</v>
      </c>
      <c r="H7" s="18" t="n">
        <v>0.5</v>
      </c>
      <c r="I7" s="19" t="s">
        <v>114</v>
      </c>
    </row>
    <row r="8" customFormat="false" ht="15" hidden="false" customHeight="false" outlineLevel="0" collapsed="false">
      <c r="B8" s="10" t="s">
        <v>67</v>
      </c>
      <c r="C8" s="16" t="n">
        <v>0.402</v>
      </c>
      <c r="D8" s="16" t="n">
        <v>0.955</v>
      </c>
      <c r="E8" s="18" t="n">
        <v>0.55</v>
      </c>
      <c r="F8" s="18" t="n">
        <v>0.451</v>
      </c>
      <c r="G8" s="16" t="n">
        <v>0.353</v>
      </c>
      <c r="H8" s="18" t="n">
        <v>0.55</v>
      </c>
      <c r="I8" s="19" t="s">
        <v>115</v>
      </c>
    </row>
    <row r="9" customFormat="false" ht="15" hidden="false" customHeight="false" outlineLevel="0" collapsed="false">
      <c r="B9" s="10" t="s">
        <v>69</v>
      </c>
      <c r="C9" s="18" t="n">
        <v>0.451</v>
      </c>
      <c r="D9" s="16" t="n">
        <v>0.201</v>
      </c>
      <c r="E9" s="16" t="n">
        <v>0.599</v>
      </c>
      <c r="F9" s="18" t="n">
        <v>0.5</v>
      </c>
      <c r="G9" s="16" t="n">
        <v>0.402</v>
      </c>
      <c r="H9" s="16" t="n">
        <v>0.599</v>
      </c>
      <c r="I9" s="19" t="s">
        <v>116</v>
      </c>
    </row>
    <row r="10" customFormat="false" ht="15" hidden="false" customHeight="false" outlineLevel="0" collapsed="false">
      <c r="B10" s="10" t="s">
        <v>78</v>
      </c>
      <c r="C10" s="18" t="n">
        <v>0.5</v>
      </c>
      <c r="D10" s="16" t="n">
        <v>0.201</v>
      </c>
      <c r="E10" s="16" t="n">
        <v>0.693</v>
      </c>
      <c r="F10" s="18" t="n">
        <v>0.55</v>
      </c>
      <c r="G10" s="18" t="n">
        <v>0.451</v>
      </c>
      <c r="H10" s="16" t="n">
        <v>0.693</v>
      </c>
      <c r="I10" s="19" t="s">
        <v>117</v>
      </c>
    </row>
    <row r="11" customFormat="false" ht="15" hidden="false" customHeight="false" outlineLevel="0" collapsed="false">
      <c r="B11" s="10" t="s">
        <v>80</v>
      </c>
      <c r="C11" s="16" t="n">
        <v>0.894</v>
      </c>
      <c r="D11" s="18" t="n">
        <v>0.473</v>
      </c>
      <c r="E11" s="16" t="n">
        <v>0.983</v>
      </c>
      <c r="F11" s="16" t="n">
        <v>0.983</v>
      </c>
      <c r="G11" s="16" t="n">
        <v>0.894</v>
      </c>
      <c r="H11" s="16" t="n">
        <v>0.983</v>
      </c>
      <c r="I11" s="19" t="s">
        <v>25</v>
      </c>
    </row>
    <row r="12" customFormat="false" ht="15" hidden="false" customHeight="false" outlineLevel="0" collapsed="false">
      <c r="B12" s="10" t="s">
        <v>85</v>
      </c>
      <c r="C12" s="18" t="n">
        <v>0.55</v>
      </c>
      <c r="D12" s="16" t="n">
        <v>0.201</v>
      </c>
      <c r="E12" s="16" t="n">
        <v>0.781</v>
      </c>
      <c r="F12" s="16" t="n">
        <v>0.598</v>
      </c>
      <c r="G12" s="18" t="n">
        <v>0.5</v>
      </c>
      <c r="H12" s="16" t="n">
        <v>0.781</v>
      </c>
      <c r="I12" s="19" t="s">
        <v>118</v>
      </c>
    </row>
    <row r="13" customFormat="false" ht="15" hidden="false" customHeight="false" outlineLevel="0" collapsed="false">
      <c r="B13" s="10" t="s">
        <v>93</v>
      </c>
      <c r="C13" s="16" t="n">
        <v>0.599</v>
      </c>
      <c r="D13" s="16" t="n">
        <v>0.449</v>
      </c>
      <c r="E13" s="16" t="n">
        <v>0.821</v>
      </c>
      <c r="F13" s="16" t="n">
        <v>0.646</v>
      </c>
      <c r="G13" s="18" t="n">
        <v>0.549</v>
      </c>
      <c r="H13" s="16" t="n">
        <v>0.821</v>
      </c>
      <c r="I13" s="19" t="s">
        <v>28</v>
      </c>
    </row>
    <row r="14" customFormat="false" ht="15" hidden="false" customHeight="false" outlineLevel="0" collapsed="false">
      <c r="B14" s="10" t="s">
        <v>95</v>
      </c>
      <c r="C14" s="16" t="n">
        <v>0.821</v>
      </c>
      <c r="D14" s="18" t="n">
        <v>0.452</v>
      </c>
      <c r="E14" s="16" t="n">
        <v>0.859</v>
      </c>
      <c r="F14" s="16" t="n">
        <v>0.141</v>
      </c>
      <c r="G14" s="16" t="n">
        <v>0.598</v>
      </c>
      <c r="H14" s="16" t="n">
        <v>0.859</v>
      </c>
      <c r="I14" s="1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17.35" hidden="false" customHeight="false" outlineLevel="0" collapsed="false">
      <c r="B1" s="20" t="s">
        <v>119</v>
      </c>
    </row>
    <row r="3" customFormat="false" ht="15" hidden="false" customHeight="false" outlineLevel="0" collapsed="false">
      <c r="B3" s="8" t="s">
        <v>120</v>
      </c>
      <c r="C3" s="8" t="s">
        <v>121</v>
      </c>
    </row>
    <row r="4" customFormat="false" ht="55.5" hidden="false" customHeight="true" outlineLevel="0" collapsed="false">
      <c r="B4" s="21" t="s">
        <v>122</v>
      </c>
      <c r="C4" s="22" t="s">
        <v>123</v>
      </c>
    </row>
    <row r="5" customFormat="false" ht="97.5" hidden="false" customHeight="true" outlineLevel="0" collapsed="false">
      <c r="B5" s="21" t="s">
        <v>124</v>
      </c>
      <c r="C5" s="22" t="s">
        <v>125</v>
      </c>
    </row>
    <row r="6" customFormat="false" ht="42" hidden="false" customHeight="true" outlineLevel="0" collapsed="false">
      <c r="B6" s="21" t="s">
        <v>126</v>
      </c>
      <c r="C6" s="22" t="s">
        <v>127</v>
      </c>
    </row>
    <row r="7" customFormat="false" ht="111.75" hidden="false" customHeight="true" outlineLevel="0" collapsed="false">
      <c r="B7" s="21" t="s">
        <v>128</v>
      </c>
      <c r="C7" s="22" t="s">
        <v>129</v>
      </c>
    </row>
    <row r="8" customFormat="false" ht="69.75" hidden="false" customHeight="true" outlineLevel="0" collapsed="false">
      <c r="B8" s="21" t="s">
        <v>130</v>
      </c>
      <c r="C8" s="22" t="s">
        <v>131</v>
      </c>
    </row>
    <row r="9" customFormat="false" ht="42" hidden="false" customHeight="true" outlineLevel="0" collapsed="false">
      <c r="B9" s="21" t="s">
        <v>132</v>
      </c>
      <c r="C9" s="22" t="s">
        <v>133</v>
      </c>
    </row>
    <row r="10" customFormat="false" ht="55.5" hidden="false" customHeight="true" outlineLevel="0" collapsed="false">
      <c r="B10" s="21" t="s">
        <v>134</v>
      </c>
      <c r="C10" s="22" t="s">
        <v>135</v>
      </c>
    </row>
    <row r="11" customFormat="false" ht="55.5" hidden="false" customHeight="true" outlineLevel="0" collapsed="false">
      <c r="B11" s="21" t="s">
        <v>136</v>
      </c>
      <c r="C11" s="2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2026-09-19T06:22:10Z</dcterms:created>
  <dc:creator>openpyxl</dc:creator>
  <dc:description/>
  <dc:language>en-US</dc:language>
  <cp:lastModifiedBy/>
  <dcterms:modified xsi:type="dcterms:W3CDTF">2026-09-19T06:22:10Z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