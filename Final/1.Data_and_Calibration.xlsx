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HP\Desktop\Project-1\Project-1\Final\"/>
    </mc:Choice>
  </mc:AlternateContent>
  <xr:revisionPtr revIDLastSave="0" documentId="13_ncr:1_{5F6B5048-A880-43B2-9B06-E6EC09EEBEF7}" xr6:coauthVersionLast="47" xr6:coauthVersionMax="47" xr10:uidLastSave="{00000000-0000-0000-0000-000000000000}"/>
  <bookViews>
    <workbookView xWindow="-108" yWindow="-108" windowWidth="23256" windowHeight="13896" tabRatio="500" firstSheet="10" activeTab="12" xr2:uid="{00000000-000D-0000-FFFF-FFFF00000000}"/>
  </bookViews>
  <sheets>
    <sheet name="Overview" sheetId="1" r:id="rId1"/>
    <sheet name="Revision History" sheetId="2" r:id="rId2"/>
    <sheet name="Company List" sheetId="3" r:id="rId3"/>
    <sheet name="Raw Data (0-4 Scores)" sheetId="4" r:id="rId4"/>
    <sheet name="Data Sources" sheetId="5" r:id="rId5"/>
    <sheet name="Scoring Method" sheetId="6" r:id="rId6"/>
    <sheet name="Calibration Anchors" sheetId="7" r:id="rId7"/>
    <sheet name="Fuzzy Scores (Source)" sheetId="8" r:id="rId8"/>
    <sheet name="Calibration Check" sheetId="9" r:id="rId9"/>
    <sheet name="Descriptives &amp; Correlations" sheetId="10" r:id="rId10"/>
    <sheet name="Analysis Settings" sheetId="11" r:id="rId11"/>
    <sheet name="Fuzzy Scores - Percentile" sheetId="12" r:id="rId12"/>
    <sheet name="Fuzzy Scores - Rubric" sheetId="13" r:id="rId1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106" i="13" l="1"/>
  <c r="B106" i="13"/>
  <c r="A106" i="13"/>
  <c r="B105" i="13"/>
  <c r="A105" i="13"/>
  <c r="B104" i="13"/>
  <c r="A104" i="13"/>
  <c r="B103" i="13"/>
  <c r="A103" i="13"/>
  <c r="B102" i="13"/>
  <c r="A102" i="13"/>
  <c r="B101" i="13"/>
  <c r="A101" i="13"/>
  <c r="B100" i="13"/>
  <c r="A100" i="13"/>
  <c r="B99" i="13"/>
  <c r="A99" i="13"/>
  <c r="B98" i="13"/>
  <c r="A98" i="13"/>
  <c r="B97" i="13"/>
  <c r="A97" i="13"/>
  <c r="B96" i="13"/>
  <c r="A96" i="13"/>
  <c r="B95" i="13"/>
  <c r="A95" i="13"/>
  <c r="B94" i="13"/>
  <c r="A94" i="13"/>
  <c r="B93" i="13"/>
  <c r="A93" i="13"/>
  <c r="B92" i="13"/>
  <c r="A92" i="13"/>
  <c r="B91" i="13"/>
  <c r="A91" i="13"/>
  <c r="B90" i="13"/>
  <c r="A90" i="13"/>
  <c r="B89" i="13"/>
  <c r="A89" i="13"/>
  <c r="B88" i="13"/>
  <c r="A88" i="13"/>
  <c r="B87" i="13"/>
  <c r="A87" i="13"/>
  <c r="B86" i="13"/>
  <c r="A86" i="13"/>
  <c r="B85" i="13"/>
  <c r="A85" i="13"/>
  <c r="B84" i="13"/>
  <c r="A84" i="13"/>
  <c r="B83" i="13"/>
  <c r="A83" i="13"/>
  <c r="B82" i="13"/>
  <c r="A82" i="13"/>
  <c r="B81" i="13"/>
  <c r="A81" i="13"/>
  <c r="B80" i="13"/>
  <c r="A80" i="13"/>
  <c r="H79" i="13"/>
  <c r="B79" i="13"/>
  <c r="A79" i="13"/>
  <c r="B78" i="13"/>
  <c r="A78" i="13"/>
  <c r="B77" i="13"/>
  <c r="A77" i="13"/>
  <c r="B76" i="13"/>
  <c r="A76" i="13"/>
  <c r="B75" i="13"/>
  <c r="A75" i="13"/>
  <c r="B74" i="13"/>
  <c r="A74" i="13"/>
  <c r="B73" i="13"/>
  <c r="A73" i="13"/>
  <c r="B72" i="13"/>
  <c r="A72" i="13"/>
  <c r="B71" i="13"/>
  <c r="A71" i="13"/>
  <c r="G70" i="13"/>
  <c r="B70" i="13"/>
  <c r="A70" i="13"/>
  <c r="B69" i="13"/>
  <c r="A69" i="13"/>
  <c r="B68" i="13"/>
  <c r="A68" i="13"/>
  <c r="B67" i="13"/>
  <c r="A67" i="13"/>
  <c r="B66" i="13"/>
  <c r="A66" i="13"/>
  <c r="B65" i="13"/>
  <c r="A65" i="13"/>
  <c r="B64" i="13"/>
  <c r="A64" i="13"/>
  <c r="B63" i="13"/>
  <c r="A63" i="13"/>
  <c r="B62" i="13"/>
  <c r="A62" i="13"/>
  <c r="B61" i="13"/>
  <c r="A61" i="13"/>
  <c r="B60" i="13"/>
  <c r="A60" i="13"/>
  <c r="B59" i="13"/>
  <c r="A59" i="13"/>
  <c r="B58" i="13"/>
  <c r="A58" i="13"/>
  <c r="B57" i="13"/>
  <c r="A57" i="13"/>
  <c r="B56" i="13"/>
  <c r="A56" i="13"/>
  <c r="B55" i="13"/>
  <c r="A55" i="13"/>
  <c r="B54" i="13"/>
  <c r="A54" i="13"/>
  <c r="G53" i="13"/>
  <c r="B53" i="13"/>
  <c r="A53" i="13"/>
  <c r="B52" i="13"/>
  <c r="A52" i="13"/>
  <c r="B51" i="13"/>
  <c r="A51" i="13"/>
  <c r="B50" i="13"/>
  <c r="A50" i="13"/>
  <c r="B49" i="13"/>
  <c r="A49" i="13"/>
  <c r="B48" i="13"/>
  <c r="A48" i="13"/>
  <c r="B47" i="13"/>
  <c r="A47" i="13"/>
  <c r="B46" i="13"/>
  <c r="A46" i="13"/>
  <c r="B45" i="13"/>
  <c r="A45" i="13"/>
  <c r="B44" i="13"/>
  <c r="A44" i="13"/>
  <c r="B43" i="13"/>
  <c r="A43" i="13"/>
  <c r="B42" i="13"/>
  <c r="A42" i="13"/>
  <c r="B41" i="13"/>
  <c r="A41" i="13"/>
  <c r="B40" i="13"/>
  <c r="A40" i="13"/>
  <c r="B39" i="13"/>
  <c r="A39" i="13"/>
  <c r="B38" i="13"/>
  <c r="A38" i="13"/>
  <c r="B37" i="13"/>
  <c r="A37" i="13"/>
  <c r="B36" i="13"/>
  <c r="A36" i="13"/>
  <c r="B35" i="13"/>
  <c r="A35" i="13"/>
  <c r="B34" i="13"/>
  <c r="A34" i="13"/>
  <c r="B33" i="13"/>
  <c r="A33" i="13"/>
  <c r="B32" i="13"/>
  <c r="A32" i="13"/>
  <c r="B31" i="13"/>
  <c r="A31" i="13"/>
  <c r="B30" i="13"/>
  <c r="A30" i="13"/>
  <c r="B29" i="13"/>
  <c r="A29" i="13"/>
  <c r="B28" i="13"/>
  <c r="A28" i="13"/>
  <c r="B27" i="13"/>
  <c r="A27" i="13"/>
  <c r="B26" i="13"/>
  <c r="A26" i="13"/>
  <c r="B25" i="13"/>
  <c r="A25" i="13"/>
  <c r="B24" i="13"/>
  <c r="A24" i="13"/>
  <c r="B23" i="13"/>
  <c r="A23" i="13"/>
  <c r="B22" i="13"/>
  <c r="A22" i="13"/>
  <c r="B21" i="13"/>
  <c r="A21" i="13"/>
  <c r="B20" i="13"/>
  <c r="A20" i="13"/>
  <c r="B19" i="13"/>
  <c r="A19" i="13"/>
  <c r="B18" i="13"/>
  <c r="A18" i="13"/>
  <c r="B17" i="13"/>
  <c r="A17" i="13"/>
  <c r="B16" i="13"/>
  <c r="A16" i="13"/>
  <c r="B15" i="13"/>
  <c r="A15" i="13"/>
  <c r="B14" i="13"/>
  <c r="A14" i="13"/>
  <c r="B13" i="13"/>
  <c r="A13" i="13"/>
  <c r="B12" i="13"/>
  <c r="A12" i="13"/>
  <c r="B11" i="13"/>
  <c r="A11" i="13"/>
  <c r="B10" i="13"/>
  <c r="A10" i="13"/>
  <c r="B9" i="13"/>
  <c r="A9" i="13"/>
  <c r="B8" i="13"/>
  <c r="A8" i="13"/>
  <c r="B7" i="13"/>
  <c r="A7" i="13"/>
  <c r="B6" i="13"/>
  <c r="A6" i="13"/>
  <c r="B5" i="13"/>
  <c r="A5" i="13"/>
  <c r="B4" i="13"/>
  <c r="A4" i="13"/>
  <c r="B3" i="13"/>
  <c r="A3" i="13"/>
  <c r="B2" i="13"/>
  <c r="A2" i="13"/>
  <c r="I106" i="12"/>
  <c r="J106" i="12" s="1"/>
  <c r="H106" i="12"/>
  <c r="G106" i="12"/>
  <c r="F106" i="12"/>
  <c r="E106" i="12"/>
  <c r="D106" i="12"/>
  <c r="C106" i="12"/>
  <c r="B106" i="12"/>
  <c r="A106" i="12"/>
  <c r="I105" i="12"/>
  <c r="J105" i="12" s="1"/>
  <c r="H105" i="12"/>
  <c r="G105" i="12"/>
  <c r="F105" i="12"/>
  <c r="E105" i="12"/>
  <c r="D105" i="12"/>
  <c r="C105" i="12"/>
  <c r="B105" i="12"/>
  <c r="A105" i="12"/>
  <c r="I104" i="12"/>
  <c r="J104" i="12" s="1"/>
  <c r="H104" i="12"/>
  <c r="G104" i="12"/>
  <c r="F104" i="12"/>
  <c r="E104" i="12"/>
  <c r="D104" i="12"/>
  <c r="C104" i="12"/>
  <c r="B104" i="12"/>
  <c r="A104" i="12"/>
  <c r="I103" i="12"/>
  <c r="J103" i="12" s="1"/>
  <c r="H103" i="12"/>
  <c r="G103" i="12"/>
  <c r="F103" i="12"/>
  <c r="E103" i="12"/>
  <c r="D103" i="12"/>
  <c r="C103" i="12"/>
  <c r="B103" i="12"/>
  <c r="A103" i="12"/>
  <c r="I102" i="12"/>
  <c r="J102" i="12" s="1"/>
  <c r="H102" i="12"/>
  <c r="G102" i="12"/>
  <c r="F102" i="12"/>
  <c r="E102" i="12"/>
  <c r="D102" i="12"/>
  <c r="C102" i="12"/>
  <c r="B102" i="12"/>
  <c r="A102" i="12"/>
  <c r="I101" i="12"/>
  <c r="J101" i="12" s="1"/>
  <c r="H101" i="12"/>
  <c r="G101" i="12"/>
  <c r="F101" i="12"/>
  <c r="E101" i="12"/>
  <c r="D101" i="12"/>
  <c r="C101" i="12"/>
  <c r="B101" i="12"/>
  <c r="A101" i="12"/>
  <c r="I100" i="12"/>
  <c r="J100" i="12" s="1"/>
  <c r="H100" i="12"/>
  <c r="G100" i="12"/>
  <c r="F100" i="12"/>
  <c r="E100" i="12"/>
  <c r="D100" i="12"/>
  <c r="C100" i="12"/>
  <c r="B100" i="12"/>
  <c r="A100" i="12"/>
  <c r="I99" i="12"/>
  <c r="J99" i="12" s="1"/>
  <c r="H99" i="12"/>
  <c r="G99" i="12"/>
  <c r="F99" i="12"/>
  <c r="E99" i="12"/>
  <c r="D99" i="12"/>
  <c r="C99" i="12"/>
  <c r="B99" i="12"/>
  <c r="A99" i="12"/>
  <c r="I98" i="12"/>
  <c r="J98" i="12" s="1"/>
  <c r="H98" i="12"/>
  <c r="G98" i="12"/>
  <c r="F98" i="12"/>
  <c r="E98" i="12"/>
  <c r="D98" i="12"/>
  <c r="C98" i="12"/>
  <c r="B98" i="12"/>
  <c r="A98" i="12"/>
  <c r="I97" i="12"/>
  <c r="J97" i="12" s="1"/>
  <c r="H97" i="12"/>
  <c r="G97" i="12"/>
  <c r="F97" i="12"/>
  <c r="E97" i="12"/>
  <c r="D97" i="12"/>
  <c r="C97" i="12"/>
  <c r="B97" i="12"/>
  <c r="A97" i="12"/>
  <c r="I96" i="12"/>
  <c r="J96" i="12" s="1"/>
  <c r="H96" i="12"/>
  <c r="G96" i="12"/>
  <c r="F96" i="12"/>
  <c r="E96" i="12"/>
  <c r="D96" i="12"/>
  <c r="C96" i="12"/>
  <c r="B96" i="12"/>
  <c r="A96" i="12"/>
  <c r="I95" i="12"/>
  <c r="J95" i="12" s="1"/>
  <c r="H95" i="12"/>
  <c r="G95" i="12"/>
  <c r="F95" i="12"/>
  <c r="E95" i="12"/>
  <c r="D95" i="12"/>
  <c r="C95" i="12"/>
  <c r="B95" i="12"/>
  <c r="A95" i="12"/>
  <c r="I94" i="12"/>
  <c r="J94" i="12" s="1"/>
  <c r="H94" i="12"/>
  <c r="G94" i="12"/>
  <c r="F94" i="12"/>
  <c r="E94" i="12"/>
  <c r="D94" i="12"/>
  <c r="C94" i="12"/>
  <c r="B94" i="12"/>
  <c r="A94" i="12"/>
  <c r="I93" i="12"/>
  <c r="J93" i="12" s="1"/>
  <c r="H93" i="12"/>
  <c r="G93" i="12"/>
  <c r="F93" i="12"/>
  <c r="E93" i="12"/>
  <c r="D93" i="12"/>
  <c r="C93" i="12"/>
  <c r="B93" i="12"/>
  <c r="A93" i="12"/>
  <c r="I92" i="12"/>
  <c r="J92" i="12" s="1"/>
  <c r="H92" i="12"/>
  <c r="G92" i="12"/>
  <c r="F92" i="12"/>
  <c r="E92" i="12"/>
  <c r="D92" i="12"/>
  <c r="C92" i="12"/>
  <c r="B92" i="12"/>
  <c r="A92" i="12"/>
  <c r="I91" i="12"/>
  <c r="J91" i="12" s="1"/>
  <c r="H91" i="12"/>
  <c r="G91" i="12"/>
  <c r="F91" i="12"/>
  <c r="E91" i="12"/>
  <c r="D91" i="12"/>
  <c r="C91" i="12"/>
  <c r="B91" i="12"/>
  <c r="A91" i="12"/>
  <c r="I90" i="12"/>
  <c r="J90" i="12" s="1"/>
  <c r="H90" i="12"/>
  <c r="G90" i="12"/>
  <c r="F90" i="12"/>
  <c r="E90" i="12"/>
  <c r="D90" i="12"/>
  <c r="C90" i="12"/>
  <c r="B90" i="12"/>
  <c r="A90" i="12"/>
  <c r="I89" i="12"/>
  <c r="J89" i="12" s="1"/>
  <c r="H89" i="12"/>
  <c r="G89" i="12"/>
  <c r="F89" i="12"/>
  <c r="E89" i="12"/>
  <c r="D89" i="12"/>
  <c r="C89" i="12"/>
  <c r="B89" i="12"/>
  <c r="A89" i="12"/>
  <c r="I88" i="12"/>
  <c r="J88" i="12" s="1"/>
  <c r="H88" i="12"/>
  <c r="G88" i="12"/>
  <c r="F88" i="12"/>
  <c r="E88" i="12"/>
  <c r="D88" i="12"/>
  <c r="C88" i="12"/>
  <c r="B88" i="12"/>
  <c r="A88" i="12"/>
  <c r="I87" i="12"/>
  <c r="J87" i="12" s="1"/>
  <c r="H87" i="12"/>
  <c r="G87" i="12"/>
  <c r="F87" i="12"/>
  <c r="E87" i="12"/>
  <c r="D87" i="12"/>
  <c r="C87" i="12"/>
  <c r="B87" i="12"/>
  <c r="A87" i="12"/>
  <c r="I86" i="12"/>
  <c r="J86" i="12" s="1"/>
  <c r="H86" i="12"/>
  <c r="G86" i="12"/>
  <c r="F86" i="12"/>
  <c r="E86" i="12"/>
  <c r="D86" i="12"/>
  <c r="C86" i="12"/>
  <c r="B86" i="12"/>
  <c r="A86" i="12"/>
  <c r="I85" i="12"/>
  <c r="J85" i="12" s="1"/>
  <c r="H85" i="12"/>
  <c r="G85" i="12"/>
  <c r="F85" i="12"/>
  <c r="E85" i="12"/>
  <c r="D85" i="12"/>
  <c r="C85" i="12"/>
  <c r="B85" i="12"/>
  <c r="A85" i="12"/>
  <c r="I84" i="12"/>
  <c r="J84" i="12" s="1"/>
  <c r="H84" i="12"/>
  <c r="G84" i="12"/>
  <c r="F84" i="12"/>
  <c r="E84" i="12"/>
  <c r="D84" i="12"/>
  <c r="C84" i="12"/>
  <c r="B84" i="12"/>
  <c r="A84" i="12"/>
  <c r="I83" i="12"/>
  <c r="J83" i="12" s="1"/>
  <c r="H83" i="12"/>
  <c r="G83" i="12"/>
  <c r="F83" i="12"/>
  <c r="E83" i="12"/>
  <c r="D83" i="12"/>
  <c r="C83" i="12"/>
  <c r="B83" i="12"/>
  <c r="A83" i="12"/>
  <c r="I82" i="12"/>
  <c r="J82" i="12" s="1"/>
  <c r="H82" i="12"/>
  <c r="G82" i="12"/>
  <c r="F82" i="12"/>
  <c r="E82" i="12"/>
  <c r="D82" i="12"/>
  <c r="C82" i="12"/>
  <c r="B82" i="12"/>
  <c r="A82" i="12"/>
  <c r="I81" i="12"/>
  <c r="J81" i="12" s="1"/>
  <c r="H81" i="12"/>
  <c r="G81" i="12"/>
  <c r="F81" i="12"/>
  <c r="E81" i="12"/>
  <c r="D81" i="12"/>
  <c r="C81" i="12"/>
  <c r="B81" i="12"/>
  <c r="A81" i="12"/>
  <c r="I80" i="12"/>
  <c r="J80" i="12" s="1"/>
  <c r="H80" i="12"/>
  <c r="G80" i="12"/>
  <c r="F80" i="12"/>
  <c r="E80" i="12"/>
  <c r="D80" i="12"/>
  <c r="C80" i="12"/>
  <c r="B80" i="12"/>
  <c r="A80" i="12"/>
  <c r="I79" i="12"/>
  <c r="J79" i="12" s="1"/>
  <c r="H79" i="12"/>
  <c r="G79" i="12"/>
  <c r="F79" i="12"/>
  <c r="E79" i="12"/>
  <c r="D79" i="12"/>
  <c r="C79" i="12"/>
  <c r="B79" i="12"/>
  <c r="A79" i="12"/>
  <c r="I78" i="12"/>
  <c r="J78" i="12" s="1"/>
  <c r="H78" i="12"/>
  <c r="G78" i="12"/>
  <c r="F78" i="12"/>
  <c r="E78" i="12"/>
  <c r="D78" i="12"/>
  <c r="C78" i="12"/>
  <c r="B78" i="12"/>
  <c r="A78" i="12"/>
  <c r="I77" i="12"/>
  <c r="J77" i="12" s="1"/>
  <c r="H77" i="12"/>
  <c r="G77" i="12"/>
  <c r="F77" i="12"/>
  <c r="E77" i="12"/>
  <c r="D77" i="12"/>
  <c r="C77" i="12"/>
  <c r="B77" i="12"/>
  <c r="A77" i="12"/>
  <c r="I76" i="12"/>
  <c r="J76" i="12" s="1"/>
  <c r="H76" i="12"/>
  <c r="G76" i="12"/>
  <c r="F76" i="12"/>
  <c r="E76" i="12"/>
  <c r="D76" i="12"/>
  <c r="C76" i="12"/>
  <c r="B76" i="12"/>
  <c r="A76" i="12"/>
  <c r="I75" i="12"/>
  <c r="J75" i="12" s="1"/>
  <c r="H75" i="12"/>
  <c r="G75" i="12"/>
  <c r="F75" i="12"/>
  <c r="E75" i="12"/>
  <c r="D75" i="12"/>
  <c r="C75" i="12"/>
  <c r="B75" i="12"/>
  <c r="A75" i="12"/>
  <c r="I74" i="12"/>
  <c r="J74" i="12" s="1"/>
  <c r="H74" i="12"/>
  <c r="G74" i="12"/>
  <c r="F74" i="12"/>
  <c r="E74" i="12"/>
  <c r="D74" i="12"/>
  <c r="C74" i="12"/>
  <c r="B74" i="12"/>
  <c r="A74" i="12"/>
  <c r="I73" i="12"/>
  <c r="J73" i="12" s="1"/>
  <c r="H73" i="12"/>
  <c r="G73" i="12"/>
  <c r="F73" i="12"/>
  <c r="E73" i="12"/>
  <c r="D73" i="12"/>
  <c r="C73" i="12"/>
  <c r="B73" i="12"/>
  <c r="A73" i="12"/>
  <c r="I72" i="12"/>
  <c r="J72" i="12" s="1"/>
  <c r="H72" i="12"/>
  <c r="G72" i="12"/>
  <c r="F72" i="12"/>
  <c r="E72" i="12"/>
  <c r="D72" i="12"/>
  <c r="C72" i="12"/>
  <c r="B72" i="12"/>
  <c r="A72" i="12"/>
  <c r="I71" i="12"/>
  <c r="J71" i="12" s="1"/>
  <c r="H71" i="12"/>
  <c r="G71" i="12"/>
  <c r="F71" i="12"/>
  <c r="E71" i="12"/>
  <c r="D71" i="12"/>
  <c r="C71" i="12"/>
  <c r="B71" i="12"/>
  <c r="A71" i="12"/>
  <c r="I70" i="12"/>
  <c r="J70" i="12" s="1"/>
  <c r="H70" i="12"/>
  <c r="G70" i="12"/>
  <c r="F70" i="12"/>
  <c r="E70" i="12"/>
  <c r="D70" i="12"/>
  <c r="C70" i="12"/>
  <c r="B70" i="12"/>
  <c r="A70" i="12"/>
  <c r="I69" i="12"/>
  <c r="J69" i="12" s="1"/>
  <c r="H69" i="12"/>
  <c r="G69" i="12"/>
  <c r="F69" i="12"/>
  <c r="E69" i="12"/>
  <c r="D69" i="12"/>
  <c r="C69" i="12"/>
  <c r="B69" i="12"/>
  <c r="A69" i="12"/>
  <c r="I68" i="12"/>
  <c r="J68" i="12" s="1"/>
  <c r="H68" i="12"/>
  <c r="G68" i="12"/>
  <c r="F68" i="12"/>
  <c r="E68" i="12"/>
  <c r="D68" i="12"/>
  <c r="C68" i="12"/>
  <c r="B68" i="12"/>
  <c r="A68" i="12"/>
  <c r="I67" i="12"/>
  <c r="J67" i="12" s="1"/>
  <c r="H67" i="12"/>
  <c r="G67" i="12"/>
  <c r="F67" i="12"/>
  <c r="E67" i="12"/>
  <c r="D67" i="12"/>
  <c r="C67" i="12"/>
  <c r="B67" i="12"/>
  <c r="A67" i="12"/>
  <c r="I66" i="12"/>
  <c r="J66" i="12" s="1"/>
  <c r="H66" i="12"/>
  <c r="G66" i="12"/>
  <c r="F66" i="12"/>
  <c r="E66" i="12"/>
  <c r="D66" i="12"/>
  <c r="C66" i="12"/>
  <c r="B66" i="12"/>
  <c r="A66" i="12"/>
  <c r="I65" i="12"/>
  <c r="J65" i="12" s="1"/>
  <c r="H65" i="12"/>
  <c r="G65" i="12"/>
  <c r="F65" i="12"/>
  <c r="E65" i="12"/>
  <c r="D65" i="12"/>
  <c r="C65" i="12"/>
  <c r="B65" i="12"/>
  <c r="A65" i="12"/>
  <c r="I64" i="12"/>
  <c r="J64" i="12" s="1"/>
  <c r="H64" i="12"/>
  <c r="G64" i="12"/>
  <c r="F64" i="12"/>
  <c r="E64" i="12"/>
  <c r="D64" i="12"/>
  <c r="C64" i="12"/>
  <c r="B64" i="12"/>
  <c r="A64" i="12"/>
  <c r="I63" i="12"/>
  <c r="J63" i="12" s="1"/>
  <c r="H63" i="12"/>
  <c r="G63" i="12"/>
  <c r="F63" i="12"/>
  <c r="E63" i="12"/>
  <c r="D63" i="12"/>
  <c r="C63" i="12"/>
  <c r="B63" i="12"/>
  <c r="A63" i="12"/>
  <c r="I62" i="12"/>
  <c r="J62" i="12" s="1"/>
  <c r="H62" i="12"/>
  <c r="G62" i="12"/>
  <c r="F62" i="12"/>
  <c r="E62" i="12"/>
  <c r="D62" i="12"/>
  <c r="C62" i="12"/>
  <c r="B62" i="12"/>
  <c r="A62" i="12"/>
  <c r="I61" i="12"/>
  <c r="J61" i="12" s="1"/>
  <c r="H61" i="12"/>
  <c r="G61" i="12"/>
  <c r="F61" i="12"/>
  <c r="E61" i="12"/>
  <c r="D61" i="12"/>
  <c r="C61" i="12"/>
  <c r="B61" i="12"/>
  <c r="A61" i="12"/>
  <c r="I60" i="12"/>
  <c r="J60" i="12" s="1"/>
  <c r="H60" i="12"/>
  <c r="G60" i="12"/>
  <c r="F60" i="12"/>
  <c r="E60" i="12"/>
  <c r="D60" i="12"/>
  <c r="C60" i="12"/>
  <c r="B60" i="12"/>
  <c r="A60" i="12"/>
  <c r="I59" i="12"/>
  <c r="J59" i="12" s="1"/>
  <c r="H59" i="12"/>
  <c r="G59" i="12"/>
  <c r="F59" i="12"/>
  <c r="E59" i="12"/>
  <c r="D59" i="12"/>
  <c r="C59" i="12"/>
  <c r="B59" i="12"/>
  <c r="A59" i="12"/>
  <c r="I58" i="12"/>
  <c r="J58" i="12" s="1"/>
  <c r="H58" i="12"/>
  <c r="G58" i="12"/>
  <c r="F58" i="12"/>
  <c r="E58" i="12"/>
  <c r="D58" i="12"/>
  <c r="C58" i="12"/>
  <c r="B58" i="12"/>
  <c r="A58" i="12"/>
  <c r="I57" i="12"/>
  <c r="J57" i="12" s="1"/>
  <c r="H57" i="12"/>
  <c r="G57" i="12"/>
  <c r="F57" i="12"/>
  <c r="E57" i="12"/>
  <c r="D57" i="12"/>
  <c r="C57" i="12"/>
  <c r="B57" i="12"/>
  <c r="A57" i="12"/>
  <c r="I56" i="12"/>
  <c r="J56" i="12" s="1"/>
  <c r="H56" i="12"/>
  <c r="G56" i="12"/>
  <c r="F56" i="12"/>
  <c r="E56" i="12"/>
  <c r="D56" i="12"/>
  <c r="C56" i="12"/>
  <c r="B56" i="12"/>
  <c r="A56" i="12"/>
  <c r="I55" i="12"/>
  <c r="J55" i="12" s="1"/>
  <c r="H55" i="12"/>
  <c r="G55" i="12"/>
  <c r="F55" i="12"/>
  <c r="E55" i="12"/>
  <c r="D55" i="12"/>
  <c r="C55" i="12"/>
  <c r="B55" i="12"/>
  <c r="A55" i="12"/>
  <c r="I54" i="12"/>
  <c r="J54" i="12" s="1"/>
  <c r="H54" i="12"/>
  <c r="G54" i="12"/>
  <c r="F54" i="12"/>
  <c r="E54" i="12"/>
  <c r="D54" i="12"/>
  <c r="C54" i="12"/>
  <c r="B54" i="12"/>
  <c r="A54" i="12"/>
  <c r="I53" i="12"/>
  <c r="J53" i="12" s="1"/>
  <c r="H53" i="12"/>
  <c r="G53" i="12"/>
  <c r="F53" i="12"/>
  <c r="E53" i="12"/>
  <c r="D53" i="12"/>
  <c r="C53" i="12"/>
  <c r="B53" i="12"/>
  <c r="A53" i="12"/>
  <c r="I52" i="12"/>
  <c r="J52" i="12" s="1"/>
  <c r="H52" i="12"/>
  <c r="G52" i="12"/>
  <c r="F52" i="12"/>
  <c r="E52" i="12"/>
  <c r="D52" i="12"/>
  <c r="C52" i="12"/>
  <c r="B52" i="12"/>
  <c r="A52" i="12"/>
  <c r="I51" i="12"/>
  <c r="J51" i="12" s="1"/>
  <c r="H51" i="12"/>
  <c r="G51" i="12"/>
  <c r="F51" i="12"/>
  <c r="E51" i="12"/>
  <c r="D51" i="12"/>
  <c r="C51" i="12"/>
  <c r="B51" i="12"/>
  <c r="A51" i="12"/>
  <c r="I50" i="12"/>
  <c r="J50" i="12" s="1"/>
  <c r="H50" i="12"/>
  <c r="G50" i="12"/>
  <c r="F50" i="12"/>
  <c r="E50" i="12"/>
  <c r="D50" i="12"/>
  <c r="C50" i="12"/>
  <c r="B50" i="12"/>
  <c r="A50" i="12"/>
  <c r="I49" i="12"/>
  <c r="J49" i="12" s="1"/>
  <c r="H49" i="12"/>
  <c r="G49" i="12"/>
  <c r="F49" i="12"/>
  <c r="E49" i="12"/>
  <c r="D49" i="12"/>
  <c r="C49" i="12"/>
  <c r="B49" i="12"/>
  <c r="A49" i="12"/>
  <c r="I48" i="12"/>
  <c r="J48" i="12" s="1"/>
  <c r="H48" i="12"/>
  <c r="G48" i="12"/>
  <c r="F48" i="12"/>
  <c r="E48" i="12"/>
  <c r="D48" i="12"/>
  <c r="C48" i="12"/>
  <c r="B48" i="12"/>
  <c r="A48" i="12"/>
  <c r="I47" i="12"/>
  <c r="J47" i="12" s="1"/>
  <c r="H47" i="12"/>
  <c r="G47" i="12"/>
  <c r="F47" i="12"/>
  <c r="E47" i="12"/>
  <c r="D47" i="12"/>
  <c r="C47" i="12"/>
  <c r="B47" i="12"/>
  <c r="A47" i="12"/>
  <c r="I46" i="12"/>
  <c r="J46" i="12" s="1"/>
  <c r="H46" i="12"/>
  <c r="G46" i="12"/>
  <c r="F46" i="12"/>
  <c r="E46" i="12"/>
  <c r="D46" i="12"/>
  <c r="C46" i="12"/>
  <c r="B46" i="12"/>
  <c r="A46" i="12"/>
  <c r="I45" i="12"/>
  <c r="J45" i="12" s="1"/>
  <c r="H45" i="12"/>
  <c r="G45" i="12"/>
  <c r="F45" i="12"/>
  <c r="E45" i="12"/>
  <c r="D45" i="12"/>
  <c r="C45" i="12"/>
  <c r="B45" i="12"/>
  <c r="A45" i="12"/>
  <c r="I44" i="12"/>
  <c r="J44" i="12" s="1"/>
  <c r="H44" i="12"/>
  <c r="G44" i="12"/>
  <c r="F44" i="12"/>
  <c r="E44" i="12"/>
  <c r="D44" i="12"/>
  <c r="C44" i="12"/>
  <c r="B44" i="12"/>
  <c r="A44" i="12"/>
  <c r="I43" i="12"/>
  <c r="J43" i="12" s="1"/>
  <c r="H43" i="12"/>
  <c r="G43" i="12"/>
  <c r="F43" i="12"/>
  <c r="E43" i="12"/>
  <c r="D43" i="12"/>
  <c r="C43" i="12"/>
  <c r="B43" i="12"/>
  <c r="A43" i="12"/>
  <c r="I42" i="12"/>
  <c r="J42" i="12" s="1"/>
  <c r="H42" i="12"/>
  <c r="G42" i="12"/>
  <c r="F42" i="12"/>
  <c r="E42" i="12"/>
  <c r="D42" i="12"/>
  <c r="C42" i="12"/>
  <c r="B42" i="12"/>
  <c r="A42" i="12"/>
  <c r="I41" i="12"/>
  <c r="J41" i="12" s="1"/>
  <c r="H41" i="12"/>
  <c r="G41" i="12"/>
  <c r="F41" i="12"/>
  <c r="E41" i="12"/>
  <c r="D41" i="12"/>
  <c r="C41" i="12"/>
  <c r="B41" i="12"/>
  <c r="A41" i="12"/>
  <c r="I40" i="12"/>
  <c r="J40" i="12" s="1"/>
  <c r="H40" i="12"/>
  <c r="G40" i="12"/>
  <c r="F40" i="12"/>
  <c r="E40" i="12"/>
  <c r="D40" i="12"/>
  <c r="C40" i="12"/>
  <c r="B40" i="12"/>
  <c r="A40" i="12"/>
  <c r="I39" i="12"/>
  <c r="J39" i="12" s="1"/>
  <c r="H39" i="12"/>
  <c r="G39" i="12"/>
  <c r="F39" i="12"/>
  <c r="E39" i="12"/>
  <c r="D39" i="12"/>
  <c r="C39" i="12"/>
  <c r="B39" i="12"/>
  <c r="A39" i="12"/>
  <c r="I38" i="12"/>
  <c r="J38" i="12" s="1"/>
  <c r="H38" i="12"/>
  <c r="G38" i="12"/>
  <c r="F38" i="12"/>
  <c r="E38" i="12"/>
  <c r="D38" i="12"/>
  <c r="C38" i="12"/>
  <c r="B38" i="12"/>
  <c r="A38" i="12"/>
  <c r="I37" i="12"/>
  <c r="J37" i="12" s="1"/>
  <c r="H37" i="12"/>
  <c r="G37" i="12"/>
  <c r="F37" i="12"/>
  <c r="E37" i="12"/>
  <c r="D37" i="12"/>
  <c r="C37" i="12"/>
  <c r="B37" i="12"/>
  <c r="A37" i="12"/>
  <c r="I36" i="12"/>
  <c r="J36" i="12" s="1"/>
  <c r="H36" i="12"/>
  <c r="G36" i="12"/>
  <c r="F36" i="12"/>
  <c r="E36" i="12"/>
  <c r="D36" i="12"/>
  <c r="C36" i="12"/>
  <c r="B36" i="12"/>
  <c r="A36" i="12"/>
  <c r="I35" i="12"/>
  <c r="J35" i="12" s="1"/>
  <c r="H35" i="12"/>
  <c r="G35" i="12"/>
  <c r="F35" i="12"/>
  <c r="E35" i="12"/>
  <c r="D35" i="12"/>
  <c r="C35" i="12"/>
  <c r="B35" i="12"/>
  <c r="A35" i="12"/>
  <c r="I34" i="12"/>
  <c r="J34" i="12" s="1"/>
  <c r="H34" i="12"/>
  <c r="G34" i="12"/>
  <c r="F34" i="12"/>
  <c r="E34" i="12"/>
  <c r="D34" i="12"/>
  <c r="C34" i="12"/>
  <c r="B34" i="12"/>
  <c r="A34" i="12"/>
  <c r="I33" i="12"/>
  <c r="J33" i="12" s="1"/>
  <c r="H33" i="12"/>
  <c r="G33" i="12"/>
  <c r="F33" i="12"/>
  <c r="E33" i="12"/>
  <c r="D33" i="12"/>
  <c r="C33" i="12"/>
  <c r="B33" i="12"/>
  <c r="A33" i="12"/>
  <c r="I32" i="12"/>
  <c r="J32" i="12" s="1"/>
  <c r="H32" i="12"/>
  <c r="G32" i="12"/>
  <c r="F32" i="12"/>
  <c r="E32" i="12"/>
  <c r="D32" i="12"/>
  <c r="C32" i="12"/>
  <c r="B32" i="12"/>
  <c r="A32" i="12"/>
  <c r="I31" i="12"/>
  <c r="J31" i="12" s="1"/>
  <c r="H31" i="12"/>
  <c r="G31" i="12"/>
  <c r="F31" i="12"/>
  <c r="E31" i="12"/>
  <c r="D31" i="12"/>
  <c r="C31" i="12"/>
  <c r="B31" i="12"/>
  <c r="A31" i="12"/>
  <c r="I30" i="12"/>
  <c r="J30" i="12" s="1"/>
  <c r="H30" i="12"/>
  <c r="G30" i="12"/>
  <c r="F30" i="12"/>
  <c r="E30" i="12"/>
  <c r="D30" i="12"/>
  <c r="C30" i="12"/>
  <c r="B30" i="12"/>
  <c r="A30" i="12"/>
  <c r="I29" i="12"/>
  <c r="J29" i="12" s="1"/>
  <c r="H29" i="12"/>
  <c r="G29" i="12"/>
  <c r="F29" i="12"/>
  <c r="E29" i="12"/>
  <c r="D29" i="12"/>
  <c r="C29" i="12"/>
  <c r="B29" i="12"/>
  <c r="A29" i="12"/>
  <c r="I28" i="12"/>
  <c r="J28" i="12" s="1"/>
  <c r="H28" i="12"/>
  <c r="G28" i="12"/>
  <c r="F28" i="12"/>
  <c r="E28" i="12"/>
  <c r="D28" i="12"/>
  <c r="C28" i="12"/>
  <c r="B28" i="12"/>
  <c r="A28" i="12"/>
  <c r="I27" i="12"/>
  <c r="J27" i="12" s="1"/>
  <c r="H27" i="12"/>
  <c r="G27" i="12"/>
  <c r="F27" i="12"/>
  <c r="E27" i="12"/>
  <c r="D27" i="12"/>
  <c r="C27" i="12"/>
  <c r="B27" i="12"/>
  <c r="A27" i="12"/>
  <c r="I26" i="12"/>
  <c r="J26" i="12" s="1"/>
  <c r="H26" i="12"/>
  <c r="G26" i="12"/>
  <c r="F26" i="12"/>
  <c r="E26" i="12"/>
  <c r="D26" i="12"/>
  <c r="C26" i="12"/>
  <c r="B26" i="12"/>
  <c r="A26" i="12"/>
  <c r="I25" i="12"/>
  <c r="J25" i="12" s="1"/>
  <c r="H25" i="12"/>
  <c r="G25" i="12"/>
  <c r="F25" i="12"/>
  <c r="E25" i="12"/>
  <c r="D25" i="12"/>
  <c r="C25" i="12"/>
  <c r="B25" i="12"/>
  <c r="A25" i="12"/>
  <c r="I24" i="12"/>
  <c r="J24" i="12" s="1"/>
  <c r="H24" i="12"/>
  <c r="G24" i="12"/>
  <c r="F24" i="12"/>
  <c r="E24" i="12"/>
  <c r="D24" i="12"/>
  <c r="C24" i="12"/>
  <c r="B24" i="12"/>
  <c r="A24" i="12"/>
  <c r="I23" i="12"/>
  <c r="J23" i="12" s="1"/>
  <c r="H23" i="12"/>
  <c r="G23" i="12"/>
  <c r="F23" i="12"/>
  <c r="E23" i="12"/>
  <c r="D23" i="12"/>
  <c r="C23" i="12"/>
  <c r="B23" i="12"/>
  <c r="A23" i="12"/>
  <c r="I22" i="12"/>
  <c r="J22" i="12" s="1"/>
  <c r="H22" i="12"/>
  <c r="G22" i="12"/>
  <c r="F22" i="12"/>
  <c r="E22" i="12"/>
  <c r="D22" i="12"/>
  <c r="C22" i="12"/>
  <c r="B22" i="12"/>
  <c r="A22" i="12"/>
  <c r="I21" i="12"/>
  <c r="J21" i="12" s="1"/>
  <c r="H21" i="12"/>
  <c r="G21" i="12"/>
  <c r="F21" i="12"/>
  <c r="E21" i="12"/>
  <c r="D21" i="12"/>
  <c r="C21" i="12"/>
  <c r="B21" i="12"/>
  <c r="A21" i="12"/>
  <c r="I20" i="12"/>
  <c r="J20" i="12" s="1"/>
  <c r="H20" i="12"/>
  <c r="G20" i="12"/>
  <c r="F20" i="12"/>
  <c r="E20" i="12"/>
  <c r="D20" i="12"/>
  <c r="C20" i="12"/>
  <c r="B20" i="12"/>
  <c r="A20" i="12"/>
  <c r="I19" i="12"/>
  <c r="J19" i="12" s="1"/>
  <c r="H19" i="12"/>
  <c r="G19" i="12"/>
  <c r="F19" i="12"/>
  <c r="E19" i="12"/>
  <c r="D19" i="12"/>
  <c r="C19" i="12"/>
  <c r="B19" i="12"/>
  <c r="A19" i="12"/>
  <c r="I18" i="12"/>
  <c r="J18" i="12" s="1"/>
  <c r="H18" i="12"/>
  <c r="G18" i="12"/>
  <c r="F18" i="12"/>
  <c r="E18" i="12"/>
  <c r="D18" i="12"/>
  <c r="C18" i="12"/>
  <c r="B18" i="12"/>
  <c r="A18" i="12"/>
  <c r="I17" i="12"/>
  <c r="J17" i="12" s="1"/>
  <c r="H17" i="12"/>
  <c r="G17" i="12"/>
  <c r="F17" i="12"/>
  <c r="E17" i="12"/>
  <c r="D17" i="12"/>
  <c r="C17" i="12"/>
  <c r="B17" i="12"/>
  <c r="A17" i="12"/>
  <c r="I16" i="12"/>
  <c r="J16" i="12" s="1"/>
  <c r="H16" i="12"/>
  <c r="G16" i="12"/>
  <c r="F16" i="12"/>
  <c r="E16" i="12"/>
  <c r="D16" i="12"/>
  <c r="C16" i="12"/>
  <c r="B16" i="12"/>
  <c r="A16" i="12"/>
  <c r="I15" i="12"/>
  <c r="J15" i="12" s="1"/>
  <c r="H15" i="12"/>
  <c r="G15" i="12"/>
  <c r="F15" i="12"/>
  <c r="E15" i="12"/>
  <c r="D15" i="12"/>
  <c r="C15" i="12"/>
  <c r="B15" i="12"/>
  <c r="A15" i="12"/>
  <c r="I14" i="12"/>
  <c r="J14" i="12" s="1"/>
  <c r="H14" i="12"/>
  <c r="G14" i="12"/>
  <c r="F14" i="12"/>
  <c r="E14" i="12"/>
  <c r="D14" i="12"/>
  <c r="C14" i="12"/>
  <c r="B14" i="12"/>
  <c r="A14" i="12"/>
  <c r="I13" i="12"/>
  <c r="J13" i="12" s="1"/>
  <c r="H13" i="12"/>
  <c r="G13" i="12"/>
  <c r="F13" i="12"/>
  <c r="E13" i="12"/>
  <c r="D13" i="12"/>
  <c r="C13" i="12"/>
  <c r="B13" i="12"/>
  <c r="A13" i="12"/>
  <c r="I12" i="12"/>
  <c r="J12" i="12" s="1"/>
  <c r="H12" i="12"/>
  <c r="G12" i="12"/>
  <c r="F12" i="12"/>
  <c r="E12" i="12"/>
  <c r="D12" i="12"/>
  <c r="C12" i="12"/>
  <c r="B12" i="12"/>
  <c r="A12" i="12"/>
  <c r="I11" i="12"/>
  <c r="J11" i="12" s="1"/>
  <c r="H11" i="12"/>
  <c r="G11" i="12"/>
  <c r="F11" i="12"/>
  <c r="E11" i="12"/>
  <c r="D11" i="12"/>
  <c r="C11" i="12"/>
  <c r="B11" i="12"/>
  <c r="A11" i="12"/>
  <c r="I10" i="12"/>
  <c r="J10" i="12" s="1"/>
  <c r="H10" i="12"/>
  <c r="G10" i="12"/>
  <c r="F10" i="12"/>
  <c r="E10" i="12"/>
  <c r="D10" i="12"/>
  <c r="C10" i="12"/>
  <c r="B10" i="12"/>
  <c r="A10" i="12"/>
  <c r="I9" i="12"/>
  <c r="J9" i="12" s="1"/>
  <c r="H9" i="12"/>
  <c r="G9" i="12"/>
  <c r="F9" i="12"/>
  <c r="E9" i="12"/>
  <c r="D9" i="12"/>
  <c r="C9" i="12"/>
  <c r="B9" i="12"/>
  <c r="A9" i="12"/>
  <c r="I8" i="12"/>
  <c r="J8" i="12" s="1"/>
  <c r="H8" i="12"/>
  <c r="G8" i="12"/>
  <c r="F8" i="12"/>
  <c r="E8" i="12"/>
  <c r="D8" i="12"/>
  <c r="C8" i="12"/>
  <c r="B8" i="12"/>
  <c r="A8" i="12"/>
  <c r="I7" i="12"/>
  <c r="J7" i="12" s="1"/>
  <c r="H7" i="12"/>
  <c r="G7" i="12"/>
  <c r="F7" i="12"/>
  <c r="E7" i="12"/>
  <c r="D7" i="12"/>
  <c r="C7" i="12"/>
  <c r="B7" i="12"/>
  <c r="A7" i="12"/>
  <c r="I6" i="12"/>
  <c r="J6" i="12" s="1"/>
  <c r="H6" i="12"/>
  <c r="G6" i="12"/>
  <c r="F6" i="12"/>
  <c r="E6" i="12"/>
  <c r="D6" i="12"/>
  <c r="C6" i="12"/>
  <c r="B6" i="12"/>
  <c r="A6" i="12"/>
  <c r="I5" i="12"/>
  <c r="J5" i="12" s="1"/>
  <c r="H5" i="12"/>
  <c r="G5" i="12"/>
  <c r="F5" i="12"/>
  <c r="E5" i="12"/>
  <c r="D5" i="12"/>
  <c r="C5" i="12"/>
  <c r="B5" i="12"/>
  <c r="A5" i="12"/>
  <c r="I4" i="12"/>
  <c r="J4" i="12" s="1"/>
  <c r="H4" i="12"/>
  <c r="G4" i="12"/>
  <c r="F4" i="12"/>
  <c r="E4" i="12"/>
  <c r="D4" i="12"/>
  <c r="C4" i="12"/>
  <c r="B4" i="12"/>
  <c r="A4" i="12"/>
  <c r="I3" i="12"/>
  <c r="J3" i="12" s="1"/>
  <c r="H3" i="12"/>
  <c r="G3" i="12"/>
  <c r="F3" i="12"/>
  <c r="E3" i="12"/>
  <c r="D3" i="12"/>
  <c r="C3" i="12"/>
  <c r="B3" i="12"/>
  <c r="A3" i="12"/>
  <c r="I2" i="12"/>
  <c r="J2" i="12" s="1"/>
  <c r="H2" i="12"/>
  <c r="G2" i="12"/>
  <c r="F2" i="12"/>
  <c r="E2" i="12"/>
  <c r="D2" i="12"/>
  <c r="C2" i="12"/>
  <c r="B2" i="12"/>
  <c r="A2" i="12"/>
  <c r="D21" i="11"/>
  <c r="C21" i="11"/>
  <c r="B21" i="11"/>
  <c r="H21" i="11" s="1"/>
  <c r="D20" i="11"/>
  <c r="C20" i="11"/>
  <c r="B20" i="11"/>
  <c r="H20" i="11" s="1"/>
  <c r="D19" i="11"/>
  <c r="C19" i="11"/>
  <c r="B19" i="11"/>
  <c r="H19" i="11" s="1"/>
  <c r="D18" i="11"/>
  <c r="C18" i="11"/>
  <c r="B18" i="11"/>
  <c r="H18" i="11" s="1"/>
  <c r="D17" i="11"/>
  <c r="C17" i="11"/>
  <c r="B17" i="11"/>
  <c r="H17" i="11" s="1"/>
  <c r="D16" i="11"/>
  <c r="C16" i="11"/>
  <c r="B16" i="11"/>
  <c r="H16" i="11" s="1"/>
  <c r="D15" i="11"/>
  <c r="C15" i="11"/>
  <c r="B15" i="11"/>
  <c r="H15" i="11" s="1"/>
  <c r="B8" i="11"/>
  <c r="H22" i="10"/>
  <c r="G22" i="10"/>
  <c r="F22" i="10"/>
  <c r="E22" i="10"/>
  <c r="D22" i="10"/>
  <c r="C22" i="10"/>
  <c r="B22" i="10"/>
  <c r="H21" i="10"/>
  <c r="G21" i="10"/>
  <c r="F21" i="10"/>
  <c r="E21" i="10"/>
  <c r="D21" i="10"/>
  <c r="C21" i="10"/>
  <c r="B21" i="10"/>
  <c r="H20" i="10"/>
  <c r="G20" i="10"/>
  <c r="F20" i="10"/>
  <c r="E20" i="10"/>
  <c r="D20" i="10"/>
  <c r="C20" i="10"/>
  <c r="B20" i="10"/>
  <c r="H19" i="10"/>
  <c r="G19" i="10"/>
  <c r="F19" i="10"/>
  <c r="E19" i="10"/>
  <c r="D19" i="10"/>
  <c r="C19" i="10"/>
  <c r="B19" i="10"/>
  <c r="H18" i="10"/>
  <c r="G18" i="10"/>
  <c r="F18" i="10"/>
  <c r="E18" i="10"/>
  <c r="D18" i="10"/>
  <c r="C18" i="10"/>
  <c r="B18" i="10"/>
  <c r="H17" i="10"/>
  <c r="G17" i="10"/>
  <c r="F17" i="10"/>
  <c r="E17" i="10"/>
  <c r="D17" i="10"/>
  <c r="C17" i="10"/>
  <c r="B17" i="10"/>
  <c r="H16" i="10"/>
  <c r="G16" i="10"/>
  <c r="F16" i="10"/>
  <c r="E16" i="10"/>
  <c r="D16" i="10"/>
  <c r="C16" i="10"/>
  <c r="B16" i="10"/>
  <c r="F12" i="10"/>
  <c r="E12" i="10"/>
  <c r="D12" i="10"/>
  <c r="C12" i="10"/>
  <c r="B12" i="10"/>
  <c r="F11" i="10"/>
  <c r="E11" i="10"/>
  <c r="D11" i="10"/>
  <c r="C11" i="10"/>
  <c r="B11" i="10"/>
  <c r="F10" i="10"/>
  <c r="E10" i="10"/>
  <c r="D10" i="10"/>
  <c r="C10" i="10"/>
  <c r="B10" i="10"/>
  <c r="F9" i="10"/>
  <c r="E9" i="10"/>
  <c r="D9" i="10"/>
  <c r="C9" i="10"/>
  <c r="B9" i="10"/>
  <c r="F8" i="10"/>
  <c r="E8" i="10"/>
  <c r="D8" i="10"/>
  <c r="C8" i="10"/>
  <c r="B8" i="10"/>
  <c r="F7" i="10"/>
  <c r="E7" i="10"/>
  <c r="D7" i="10"/>
  <c r="C7" i="10"/>
  <c r="B7" i="10"/>
  <c r="F6" i="10"/>
  <c r="E6" i="10"/>
  <c r="D6" i="10"/>
  <c r="C6" i="10"/>
  <c r="B6" i="10"/>
  <c r="I90" i="13" l="1"/>
  <c r="J90" i="13" s="1"/>
  <c r="H90" i="13"/>
  <c r="G90" i="13"/>
  <c r="F90" i="13"/>
  <c r="E90" i="13"/>
  <c r="D90" i="13"/>
  <c r="C90" i="13"/>
  <c r="I89" i="13"/>
  <c r="J89" i="13" s="1"/>
  <c r="H89" i="13"/>
  <c r="G89" i="13"/>
  <c r="F89" i="13"/>
  <c r="E89" i="13"/>
  <c r="D89" i="13"/>
  <c r="C89" i="13"/>
  <c r="I88" i="13"/>
  <c r="J88" i="13" s="1"/>
  <c r="H88" i="13"/>
  <c r="G88" i="13"/>
  <c r="F88" i="13"/>
  <c r="E88" i="13"/>
  <c r="D88" i="13"/>
  <c r="C88" i="13"/>
  <c r="I87" i="13"/>
  <c r="J87" i="13" s="1"/>
  <c r="H87" i="13"/>
  <c r="G87" i="13"/>
  <c r="F87" i="13"/>
  <c r="E87" i="13"/>
  <c r="D87" i="13"/>
  <c r="C87" i="13"/>
  <c r="I86" i="13"/>
  <c r="J86" i="13" s="1"/>
  <c r="H86" i="13"/>
  <c r="G86" i="13"/>
  <c r="F86" i="13"/>
  <c r="E86" i="13"/>
  <c r="D86" i="13"/>
  <c r="C86" i="13"/>
  <c r="I85" i="13"/>
  <c r="J85" i="13" s="1"/>
  <c r="H85" i="13"/>
  <c r="G85" i="13"/>
  <c r="F85" i="13"/>
  <c r="E85" i="13"/>
  <c r="D85" i="13"/>
  <c r="C85" i="13"/>
  <c r="I84" i="13"/>
  <c r="J84" i="13" s="1"/>
  <c r="H84" i="13"/>
  <c r="G84" i="13"/>
  <c r="F84" i="13"/>
  <c r="E84" i="13"/>
  <c r="D84" i="13"/>
  <c r="C84" i="13"/>
  <c r="I83" i="13"/>
  <c r="J83" i="13" s="1"/>
  <c r="H83" i="13"/>
  <c r="G83" i="13"/>
  <c r="F83" i="13"/>
  <c r="E83" i="13"/>
  <c r="D83" i="13"/>
  <c r="C83" i="13"/>
  <c r="I82" i="13"/>
  <c r="J82" i="13" s="1"/>
  <c r="H82" i="13"/>
  <c r="G82" i="13"/>
  <c r="F82" i="13"/>
  <c r="E82" i="13"/>
  <c r="D82" i="13"/>
  <c r="C82" i="13"/>
  <c r="I81" i="13"/>
  <c r="J81" i="13" s="1"/>
  <c r="H81" i="13"/>
  <c r="G81" i="13"/>
  <c r="F81" i="13"/>
  <c r="E81" i="13"/>
  <c r="D81" i="13"/>
  <c r="C81" i="13"/>
  <c r="I80" i="13"/>
  <c r="J80" i="13" s="1"/>
  <c r="H80" i="13"/>
  <c r="G80" i="13"/>
  <c r="F80" i="13"/>
  <c r="E80" i="13"/>
  <c r="D80" i="13"/>
  <c r="C80" i="13"/>
  <c r="I79" i="13"/>
  <c r="J79" i="13" s="1"/>
  <c r="G79" i="13"/>
  <c r="F79" i="13"/>
  <c r="E79" i="13"/>
  <c r="D79" i="13"/>
  <c r="C79" i="13"/>
  <c r="I78" i="13"/>
  <c r="J78" i="13" s="1"/>
  <c r="H78" i="13"/>
  <c r="G78" i="13"/>
  <c r="F78" i="13"/>
  <c r="E78" i="13"/>
  <c r="D78" i="13"/>
  <c r="C78" i="13"/>
  <c r="I77" i="13"/>
  <c r="J77" i="13" s="1"/>
  <c r="H77" i="13"/>
  <c r="G77" i="13"/>
  <c r="F77" i="13"/>
  <c r="E77" i="13"/>
  <c r="D77" i="13"/>
  <c r="C77" i="13"/>
  <c r="D60" i="13"/>
  <c r="H59" i="13"/>
  <c r="F59" i="13"/>
  <c r="D59" i="13"/>
  <c r="H58" i="13"/>
  <c r="F58" i="13"/>
  <c r="E58" i="13"/>
  <c r="C58" i="13"/>
  <c r="H57" i="13"/>
  <c r="F57" i="13"/>
  <c r="D57" i="13"/>
  <c r="G56" i="13"/>
  <c r="E56" i="13"/>
  <c r="D56" i="13"/>
  <c r="I55" i="13"/>
  <c r="J55" i="13" s="1"/>
  <c r="G55" i="13"/>
  <c r="E55" i="13"/>
  <c r="C55" i="13"/>
  <c r="H54" i="13"/>
  <c r="F54" i="13"/>
  <c r="D54" i="13"/>
  <c r="I53" i="13"/>
  <c r="J53" i="13" s="1"/>
  <c r="E53" i="13"/>
  <c r="C53" i="13"/>
  <c r="H52" i="13"/>
  <c r="F52" i="13"/>
  <c r="D52" i="13"/>
  <c r="H51" i="13"/>
  <c r="G51" i="13"/>
  <c r="E51" i="13"/>
  <c r="C51" i="13"/>
  <c r="I50" i="13"/>
  <c r="J50" i="13" s="1"/>
  <c r="H50" i="13"/>
  <c r="G50" i="13"/>
  <c r="F50" i="13"/>
  <c r="E50" i="13"/>
  <c r="D50" i="13"/>
  <c r="I49" i="13"/>
  <c r="J49" i="13" s="1"/>
  <c r="G49" i="13"/>
  <c r="E49" i="13"/>
  <c r="C49" i="13"/>
  <c r="I48" i="13"/>
  <c r="J48" i="13" s="1"/>
  <c r="G48" i="13"/>
  <c r="E48" i="13"/>
  <c r="C48" i="13"/>
  <c r="I47" i="13"/>
  <c r="J47" i="13" s="1"/>
  <c r="G47" i="13"/>
  <c r="E47" i="13"/>
  <c r="C47" i="13"/>
  <c r="H46" i="13"/>
  <c r="F46" i="13"/>
  <c r="D46" i="13"/>
  <c r="I45" i="13"/>
  <c r="J45" i="13" s="1"/>
  <c r="G45" i="13"/>
  <c r="E45" i="13"/>
  <c r="C45" i="13"/>
  <c r="I44" i="13"/>
  <c r="J44" i="13" s="1"/>
  <c r="G44" i="13"/>
  <c r="D44" i="13"/>
  <c r="C44" i="13"/>
  <c r="I43" i="13"/>
  <c r="J43" i="13" s="1"/>
  <c r="G43" i="13"/>
  <c r="E43" i="13"/>
  <c r="C43" i="13"/>
  <c r="H42" i="13"/>
  <c r="F42" i="13"/>
  <c r="D42" i="13"/>
  <c r="I41" i="13"/>
  <c r="J41" i="13" s="1"/>
  <c r="G41" i="13"/>
  <c r="E41" i="13"/>
  <c r="C41" i="13"/>
  <c r="H40" i="13"/>
  <c r="F40" i="13"/>
  <c r="D40" i="13"/>
  <c r="H39" i="13"/>
  <c r="F39" i="13"/>
  <c r="D39" i="13"/>
  <c r="C39" i="13"/>
  <c r="I38" i="13"/>
  <c r="J38" i="13" s="1"/>
  <c r="G38" i="13"/>
  <c r="E38" i="13"/>
  <c r="C38" i="13"/>
  <c r="H37" i="13"/>
  <c r="F37" i="13"/>
  <c r="D37" i="13"/>
  <c r="I36" i="13"/>
  <c r="J36" i="13" s="1"/>
  <c r="G36" i="13"/>
  <c r="E36" i="13"/>
  <c r="C36" i="13"/>
  <c r="H35" i="13"/>
  <c r="F35" i="13"/>
  <c r="D35" i="13"/>
  <c r="I34" i="13"/>
  <c r="J34" i="13" s="1"/>
  <c r="G34" i="13"/>
  <c r="E34" i="13"/>
  <c r="C34" i="13"/>
  <c r="H33" i="13"/>
  <c r="F33" i="13"/>
  <c r="D33" i="13"/>
  <c r="I32" i="13"/>
  <c r="J32" i="13" s="1"/>
  <c r="G32" i="13"/>
  <c r="E32" i="13"/>
  <c r="C32" i="13"/>
  <c r="I31" i="13"/>
  <c r="J31" i="13" s="1"/>
  <c r="F31" i="13"/>
  <c r="D31" i="13"/>
  <c r="H30" i="13"/>
  <c r="F30" i="13"/>
  <c r="E30" i="13"/>
  <c r="C30" i="13"/>
  <c r="I29" i="13"/>
  <c r="J29" i="13" s="1"/>
  <c r="G29" i="13"/>
  <c r="E29" i="13"/>
  <c r="C29" i="13"/>
  <c r="H28" i="13"/>
  <c r="F28" i="13"/>
  <c r="D28" i="13"/>
  <c r="H27" i="13"/>
  <c r="F27" i="13"/>
  <c r="D27" i="13"/>
  <c r="I26" i="13"/>
  <c r="J26" i="13" s="1"/>
  <c r="G26" i="13"/>
  <c r="E26" i="13"/>
  <c r="C26" i="13"/>
  <c r="I25" i="13"/>
  <c r="J25" i="13" s="1"/>
  <c r="G25" i="13"/>
  <c r="E25" i="13"/>
  <c r="C25" i="13"/>
  <c r="I24" i="13"/>
  <c r="J24" i="13" s="1"/>
  <c r="G24" i="13"/>
  <c r="E24" i="13"/>
  <c r="C24" i="13"/>
  <c r="H23" i="13"/>
  <c r="F23" i="13"/>
  <c r="D23" i="13"/>
  <c r="C23" i="13"/>
  <c r="H22" i="13"/>
  <c r="F22" i="13"/>
  <c r="E22" i="13"/>
  <c r="C22" i="13"/>
  <c r="H21" i="13"/>
  <c r="F21" i="13"/>
  <c r="D21" i="13"/>
  <c r="H20" i="13"/>
  <c r="F20" i="13"/>
  <c r="D20" i="13"/>
  <c r="H19" i="13"/>
  <c r="F19" i="13"/>
  <c r="D19" i="13"/>
  <c r="C19" i="13"/>
  <c r="I18" i="13"/>
  <c r="J18" i="13" s="1"/>
  <c r="G18" i="13"/>
  <c r="E18" i="13"/>
  <c r="C18" i="13"/>
  <c r="H17" i="13"/>
  <c r="F17" i="13"/>
  <c r="D17" i="13"/>
  <c r="I16" i="13"/>
  <c r="J16" i="13" s="1"/>
  <c r="G16" i="13"/>
  <c r="E16" i="13"/>
  <c r="C16" i="13"/>
  <c r="H15" i="13"/>
  <c r="I14" i="13"/>
  <c r="J14" i="13" s="1"/>
  <c r="G14" i="13"/>
  <c r="E14" i="13"/>
  <c r="C14" i="13"/>
  <c r="I13" i="13"/>
  <c r="J13" i="13" s="1"/>
  <c r="G13" i="13"/>
  <c r="E13" i="13"/>
  <c r="C13" i="13"/>
  <c r="I12" i="13"/>
  <c r="J12" i="13" s="1"/>
  <c r="G12" i="13"/>
  <c r="E12" i="13"/>
  <c r="C12" i="13"/>
  <c r="I11" i="13"/>
  <c r="J11" i="13" s="1"/>
  <c r="G11" i="13"/>
  <c r="E11" i="13"/>
  <c r="C11" i="13"/>
  <c r="H10" i="13"/>
  <c r="F10" i="13"/>
  <c r="D10" i="13"/>
  <c r="I9" i="13"/>
  <c r="J9" i="13" s="1"/>
  <c r="G9" i="13"/>
  <c r="E9" i="13"/>
  <c r="C9" i="13"/>
  <c r="H8" i="13"/>
  <c r="F8" i="13"/>
  <c r="D8" i="13"/>
  <c r="H7" i="13"/>
  <c r="G7" i="13"/>
  <c r="E7" i="13"/>
  <c r="I6" i="13"/>
  <c r="J6" i="13" s="1"/>
  <c r="H6" i="13"/>
  <c r="G6" i="13"/>
  <c r="F6" i="13"/>
  <c r="E6" i="13"/>
  <c r="D6" i="13"/>
  <c r="C6" i="13"/>
  <c r="I5" i="13"/>
  <c r="J5" i="13" s="1"/>
  <c r="H5" i="13"/>
  <c r="G5" i="13"/>
  <c r="F5" i="13"/>
  <c r="E5" i="13"/>
  <c r="D5" i="13"/>
  <c r="C5" i="13"/>
  <c r="I4" i="13"/>
  <c r="J4" i="13" s="1"/>
  <c r="H4" i="13"/>
  <c r="G4" i="13"/>
  <c r="F4" i="13"/>
  <c r="E4" i="13"/>
  <c r="D4" i="13"/>
  <c r="C4" i="13"/>
  <c r="H3" i="13"/>
  <c r="G3" i="13"/>
  <c r="E3" i="13"/>
  <c r="C3" i="13"/>
  <c r="I2" i="13"/>
  <c r="J2" i="13" s="1"/>
  <c r="G2" i="13"/>
  <c r="E2" i="13"/>
  <c r="C2" i="13"/>
  <c r="I106" i="13"/>
  <c r="J106" i="13" s="1"/>
  <c r="H106" i="13"/>
  <c r="G106" i="13"/>
  <c r="E106" i="13"/>
  <c r="D106" i="13"/>
  <c r="C106" i="13"/>
  <c r="I105" i="13"/>
  <c r="J105" i="13" s="1"/>
  <c r="H105" i="13"/>
  <c r="G105" i="13"/>
  <c r="F105" i="13"/>
  <c r="E105" i="13"/>
  <c r="D105" i="13"/>
  <c r="C105" i="13"/>
  <c r="I104" i="13"/>
  <c r="J104" i="13" s="1"/>
  <c r="H104" i="13"/>
  <c r="G104" i="13"/>
  <c r="F104" i="13"/>
  <c r="E104" i="13"/>
  <c r="D104" i="13"/>
  <c r="C104" i="13"/>
  <c r="I103" i="13"/>
  <c r="J103" i="13" s="1"/>
  <c r="H103" i="13"/>
  <c r="G103" i="13"/>
  <c r="F103" i="13"/>
  <c r="E103" i="13"/>
  <c r="D103" i="13"/>
  <c r="C103" i="13"/>
  <c r="I102" i="13"/>
  <c r="J102" i="13" s="1"/>
  <c r="H102" i="13"/>
  <c r="G102" i="13"/>
  <c r="F102" i="13"/>
  <c r="E102" i="13"/>
  <c r="D102" i="13"/>
  <c r="C102" i="13"/>
  <c r="I101" i="13"/>
  <c r="J101" i="13" s="1"/>
  <c r="H101" i="13"/>
  <c r="G101" i="13"/>
  <c r="F101" i="13"/>
  <c r="E101" i="13"/>
  <c r="D101" i="13"/>
  <c r="C101" i="13"/>
  <c r="I100" i="13"/>
  <c r="J100" i="13" s="1"/>
  <c r="H100" i="13"/>
  <c r="G100" i="13"/>
  <c r="F100" i="13"/>
  <c r="E100" i="13"/>
  <c r="D100" i="13"/>
  <c r="C100" i="13"/>
  <c r="I99" i="13"/>
  <c r="J99" i="13" s="1"/>
  <c r="H99" i="13"/>
  <c r="G99" i="13"/>
  <c r="F99" i="13"/>
  <c r="E99" i="13"/>
  <c r="D99" i="13"/>
  <c r="C99" i="13"/>
  <c r="I98" i="13"/>
  <c r="J98" i="13" s="1"/>
  <c r="H98" i="13"/>
  <c r="G98" i="13"/>
  <c r="F98" i="13"/>
  <c r="E98" i="13"/>
  <c r="D98" i="13"/>
  <c r="C98" i="13"/>
  <c r="I97" i="13"/>
  <c r="J97" i="13" s="1"/>
  <c r="H97" i="13"/>
  <c r="G97" i="13"/>
  <c r="F97" i="13"/>
  <c r="E97" i="13"/>
  <c r="D97" i="13"/>
  <c r="C97" i="13"/>
  <c r="I96" i="13"/>
  <c r="J96" i="13" s="1"/>
  <c r="H96" i="13"/>
  <c r="G96" i="13"/>
  <c r="F96" i="13"/>
  <c r="E96" i="13"/>
  <c r="D96" i="13"/>
  <c r="C96" i="13"/>
  <c r="I95" i="13"/>
  <c r="J95" i="13" s="1"/>
  <c r="I76" i="13"/>
  <c r="J76" i="13" s="1"/>
  <c r="H76" i="13"/>
  <c r="G76" i="13"/>
  <c r="F76" i="13"/>
  <c r="E76" i="13"/>
  <c r="D76" i="13"/>
  <c r="C76" i="13"/>
  <c r="I75" i="13"/>
  <c r="J75" i="13" s="1"/>
  <c r="H75" i="13"/>
  <c r="G75" i="13"/>
  <c r="F75" i="13"/>
  <c r="E75" i="13"/>
  <c r="D75" i="13"/>
  <c r="C75" i="13"/>
  <c r="I74" i="13"/>
  <c r="J74" i="13" s="1"/>
  <c r="H74" i="13"/>
  <c r="G74" i="13"/>
  <c r="F74" i="13"/>
  <c r="E74" i="13"/>
  <c r="D74" i="13"/>
  <c r="C74" i="13"/>
  <c r="I73" i="13"/>
  <c r="J73" i="13" s="1"/>
  <c r="H73" i="13"/>
  <c r="G73" i="13"/>
  <c r="F73" i="13"/>
  <c r="E73" i="13"/>
  <c r="D73" i="13"/>
  <c r="C73" i="13"/>
  <c r="I72" i="13"/>
  <c r="J72" i="13" s="1"/>
  <c r="H72" i="13"/>
  <c r="G72" i="13"/>
  <c r="F72" i="13"/>
  <c r="E72" i="13"/>
  <c r="D72" i="13"/>
  <c r="C72" i="13"/>
  <c r="I71" i="13"/>
  <c r="J71" i="13" s="1"/>
  <c r="H71" i="13"/>
  <c r="G71" i="13"/>
  <c r="F71" i="13"/>
  <c r="E71" i="13"/>
  <c r="D71" i="13"/>
  <c r="C71" i="13"/>
  <c r="I70" i="13"/>
  <c r="J70" i="13" s="1"/>
  <c r="H70" i="13"/>
  <c r="F70" i="13"/>
  <c r="E70" i="13"/>
  <c r="D70" i="13"/>
  <c r="C70" i="13"/>
  <c r="I69" i="13"/>
  <c r="J69" i="13" s="1"/>
  <c r="H69" i="13"/>
  <c r="G69" i="13"/>
  <c r="F69" i="13"/>
  <c r="E69" i="13"/>
  <c r="D69" i="13"/>
  <c r="C69" i="13"/>
  <c r="I68" i="13"/>
  <c r="J68" i="13" s="1"/>
  <c r="H68" i="13"/>
  <c r="G68" i="13"/>
  <c r="F68" i="13"/>
  <c r="E68" i="13"/>
  <c r="D68" i="13"/>
  <c r="C68" i="13"/>
  <c r="I67" i="13"/>
  <c r="J67" i="13" s="1"/>
  <c r="H67" i="13"/>
  <c r="G67" i="13"/>
  <c r="F67" i="13"/>
  <c r="E67" i="13"/>
  <c r="D67" i="13"/>
  <c r="C67" i="13"/>
  <c r="I66" i="13"/>
  <c r="J66" i="13" s="1"/>
  <c r="H66" i="13"/>
  <c r="G66" i="13"/>
  <c r="F66" i="13"/>
  <c r="E66" i="13"/>
  <c r="D66" i="13"/>
  <c r="C66" i="13"/>
  <c r="I65" i="13"/>
  <c r="J65" i="13" s="1"/>
  <c r="H65" i="13"/>
  <c r="G65" i="13"/>
  <c r="F65" i="13"/>
  <c r="E65" i="13"/>
  <c r="D65" i="13"/>
  <c r="C65" i="13"/>
  <c r="I64" i="13"/>
  <c r="J64" i="13" s="1"/>
  <c r="H64" i="13"/>
  <c r="G64" i="13"/>
  <c r="F64" i="13"/>
  <c r="E64" i="13"/>
  <c r="D64" i="13"/>
  <c r="C64" i="13"/>
  <c r="I63" i="13"/>
  <c r="J63" i="13" s="1"/>
  <c r="H63" i="13"/>
  <c r="G63" i="13"/>
  <c r="F63" i="13"/>
  <c r="E63" i="13"/>
  <c r="D63" i="13"/>
  <c r="C63" i="13"/>
  <c r="I62" i="13"/>
  <c r="J62" i="13" s="1"/>
  <c r="H62" i="13"/>
  <c r="G62" i="13"/>
  <c r="F62" i="13"/>
  <c r="E62" i="13"/>
  <c r="D62" i="13"/>
  <c r="C62" i="13"/>
  <c r="I61" i="13"/>
  <c r="J61" i="13" s="1"/>
  <c r="H61" i="13"/>
  <c r="G61" i="13"/>
  <c r="F61" i="13"/>
  <c r="E61" i="13"/>
  <c r="D61" i="13"/>
  <c r="C61" i="13"/>
  <c r="I60" i="13"/>
  <c r="J60" i="13" s="1"/>
  <c r="H60" i="13"/>
  <c r="G60" i="13"/>
  <c r="F60" i="13"/>
  <c r="E60" i="13"/>
  <c r="C60" i="13"/>
  <c r="I59" i="13"/>
  <c r="J59" i="13" s="1"/>
  <c r="G59" i="13"/>
  <c r="E59" i="13"/>
  <c r="C59" i="13"/>
  <c r="I58" i="13"/>
  <c r="J58" i="13" s="1"/>
  <c r="G58" i="13"/>
  <c r="D58" i="13"/>
  <c r="I57" i="13"/>
  <c r="J57" i="13" s="1"/>
  <c r="G57" i="13"/>
  <c r="H95" i="13"/>
  <c r="C57" i="13"/>
  <c r="I56" i="13"/>
  <c r="J56" i="13" s="1"/>
  <c r="H56" i="13"/>
  <c r="F56" i="13"/>
  <c r="C56" i="13"/>
  <c r="H55" i="13"/>
  <c r="F55" i="13"/>
  <c r="D55" i="13"/>
  <c r="I54" i="13"/>
  <c r="J54" i="13" s="1"/>
  <c r="G54" i="13"/>
  <c r="E54" i="13"/>
  <c r="C54" i="13"/>
  <c r="H53" i="13"/>
  <c r="F53" i="13"/>
  <c r="D53" i="13"/>
  <c r="I52" i="13"/>
  <c r="J52" i="13" s="1"/>
  <c r="G52" i="13"/>
  <c r="E52" i="13"/>
  <c r="C52" i="13"/>
  <c r="I51" i="13"/>
  <c r="J51" i="13" s="1"/>
  <c r="F51" i="13"/>
  <c r="D51" i="13"/>
  <c r="C50" i="13"/>
  <c r="H49" i="13"/>
  <c r="F49" i="13"/>
  <c r="D49" i="13"/>
  <c r="H48" i="13"/>
  <c r="F48" i="13"/>
  <c r="D48" i="13"/>
  <c r="H47" i="13"/>
  <c r="F47" i="13"/>
  <c r="D47" i="13"/>
  <c r="I46" i="13"/>
  <c r="J46" i="13" s="1"/>
  <c r="G46" i="13"/>
  <c r="E46" i="13"/>
  <c r="C46" i="13"/>
  <c r="H45" i="13"/>
  <c r="F45" i="13"/>
  <c r="D45" i="13"/>
  <c r="H44" i="13"/>
  <c r="F44" i="13"/>
  <c r="E44" i="13"/>
  <c r="H43" i="13"/>
  <c r="F43" i="13"/>
  <c r="D43" i="13"/>
  <c r="I42" i="13"/>
  <c r="J42" i="13" s="1"/>
  <c r="G42" i="13"/>
  <c r="E42" i="13"/>
  <c r="C42" i="13"/>
  <c r="H41" i="13"/>
  <c r="F41" i="13"/>
  <c r="D41" i="13"/>
  <c r="I40" i="13"/>
  <c r="J40" i="13" s="1"/>
  <c r="G40" i="13"/>
  <c r="E40" i="13"/>
  <c r="C40" i="13"/>
  <c r="I39" i="13"/>
  <c r="J39" i="13" s="1"/>
  <c r="G39" i="13"/>
  <c r="E39" i="13"/>
  <c r="H38" i="13"/>
  <c r="F38" i="13"/>
  <c r="D38" i="13"/>
  <c r="I37" i="13"/>
  <c r="J37" i="13" s="1"/>
  <c r="G37" i="13"/>
  <c r="E37" i="13"/>
  <c r="C37" i="13"/>
  <c r="H36" i="13"/>
  <c r="F36" i="13"/>
  <c r="D36" i="13"/>
  <c r="I35" i="13"/>
  <c r="J35" i="13" s="1"/>
  <c r="G35" i="13"/>
  <c r="E35" i="13"/>
  <c r="C35" i="13"/>
  <c r="H34" i="13"/>
  <c r="F34" i="13"/>
  <c r="D34" i="13"/>
  <c r="I33" i="13"/>
  <c r="J33" i="13" s="1"/>
  <c r="G33" i="13"/>
  <c r="E33" i="13"/>
  <c r="C33" i="13"/>
  <c r="H32" i="13"/>
  <c r="F32" i="13"/>
  <c r="D32" i="13"/>
  <c r="H31" i="13"/>
  <c r="G31" i="13"/>
  <c r="E31" i="13"/>
  <c r="C31" i="13"/>
  <c r="I30" i="13"/>
  <c r="J30" i="13" s="1"/>
  <c r="G30" i="13"/>
  <c r="D30" i="13"/>
  <c r="H29" i="13"/>
  <c r="F29" i="13"/>
  <c r="D29" i="13"/>
  <c r="I28" i="13"/>
  <c r="J28" i="13" s="1"/>
  <c r="G28" i="13"/>
  <c r="E28" i="13"/>
  <c r="C28" i="13"/>
  <c r="I27" i="13"/>
  <c r="J27" i="13" s="1"/>
  <c r="G27" i="13"/>
  <c r="E27" i="13"/>
  <c r="C27" i="13"/>
  <c r="H26" i="13"/>
  <c r="F26" i="13"/>
  <c r="D26" i="13"/>
  <c r="E57" i="13"/>
  <c r="F25" i="13"/>
  <c r="D25" i="13"/>
  <c r="H24" i="13"/>
  <c r="F24" i="13"/>
  <c r="D24" i="13"/>
  <c r="I23" i="13"/>
  <c r="J23" i="13" s="1"/>
  <c r="G23" i="13"/>
  <c r="E23" i="13"/>
  <c r="I22" i="13"/>
  <c r="J22" i="13" s="1"/>
  <c r="G22" i="13"/>
  <c r="D22" i="13"/>
  <c r="I21" i="13"/>
  <c r="J21" i="13" s="1"/>
  <c r="G21" i="13"/>
  <c r="E21" i="13"/>
  <c r="C21" i="13"/>
  <c r="I20" i="13"/>
  <c r="J20" i="13" s="1"/>
  <c r="G20" i="13"/>
  <c r="E20" i="13"/>
  <c r="C20" i="13"/>
  <c r="I19" i="13"/>
  <c r="J19" i="13" s="1"/>
  <c r="G19" i="13"/>
  <c r="E19" i="13"/>
  <c r="H18" i="13"/>
  <c r="F18" i="13"/>
  <c r="D18" i="13"/>
  <c r="I17" i="13"/>
  <c r="J17" i="13" s="1"/>
  <c r="G17" i="13"/>
  <c r="E17" i="13"/>
  <c r="C17" i="13"/>
  <c r="H16" i="13"/>
  <c r="F16" i="13"/>
  <c r="D16" i="13"/>
  <c r="I15" i="13"/>
  <c r="J15" i="13" s="1"/>
  <c r="G15" i="13"/>
  <c r="F15" i="13"/>
  <c r="E15" i="13"/>
  <c r="D15" i="13"/>
  <c r="C15" i="13"/>
  <c r="H14" i="13"/>
  <c r="F14" i="13"/>
  <c r="D14" i="13"/>
  <c r="H13" i="13"/>
  <c r="F13" i="13"/>
  <c r="D13" i="13"/>
  <c r="H12" i="13"/>
  <c r="F12" i="13"/>
  <c r="D12" i="13"/>
  <c r="H11" i="13"/>
  <c r="F11" i="13"/>
  <c r="D11" i="13"/>
  <c r="I10" i="13"/>
  <c r="J10" i="13" s="1"/>
  <c r="G10" i="13"/>
  <c r="E10" i="13"/>
  <c r="C10" i="13"/>
  <c r="H9" i="13"/>
  <c r="F9" i="13"/>
  <c r="D9" i="13"/>
  <c r="I8" i="13"/>
  <c r="J8" i="13" s="1"/>
  <c r="G8" i="13"/>
  <c r="E8" i="13"/>
  <c r="C8" i="13"/>
  <c r="I7" i="13"/>
  <c r="J7" i="13" s="1"/>
  <c r="F7" i="13"/>
  <c r="D7" i="13"/>
  <c r="C7" i="13"/>
  <c r="I3" i="13"/>
  <c r="J3" i="13" s="1"/>
  <c r="F3" i="13"/>
  <c r="D3" i="13"/>
  <c r="H2" i="13"/>
  <c r="F2" i="13"/>
  <c r="D2" i="13"/>
  <c r="G95" i="13"/>
  <c r="F95" i="13"/>
  <c r="E95" i="13"/>
  <c r="D95" i="13"/>
  <c r="C95" i="13"/>
  <c r="I94" i="13"/>
  <c r="J94" i="13" s="1"/>
  <c r="H94" i="13"/>
  <c r="G94" i="13"/>
  <c r="F94" i="13"/>
  <c r="E94" i="13"/>
  <c r="D94" i="13"/>
  <c r="C94" i="13"/>
  <c r="I93" i="13"/>
  <c r="J93" i="13" s="1"/>
  <c r="H93" i="13"/>
  <c r="G93" i="13"/>
  <c r="F93" i="13"/>
  <c r="E93" i="13"/>
  <c r="D93" i="13"/>
  <c r="C93" i="13"/>
  <c r="I92" i="13"/>
  <c r="J92" i="13" s="1"/>
  <c r="H92" i="13"/>
  <c r="G92" i="13"/>
  <c r="F92" i="13"/>
  <c r="E92" i="13"/>
  <c r="D92" i="13"/>
  <c r="C92" i="13"/>
  <c r="I91" i="13"/>
  <c r="J91" i="13" s="1"/>
  <c r="H91" i="13"/>
  <c r="G91" i="13"/>
  <c r="F91" i="13"/>
  <c r="E91" i="13"/>
  <c r="D91" i="13"/>
  <c r="C91" i="13"/>
  <c r="H25" i="13"/>
  <c r="B17" i="2"/>
</calcChain>
</file>

<file path=xl/sharedStrings.xml><?xml version="1.0" encoding="utf-8"?>
<sst xmlns="http://schemas.openxmlformats.org/spreadsheetml/2006/main" count="1444" uniqueCount="451">
  <si>
    <t>fsQCA 35-Firm Panel (2023-2025) - Read Me  [v2: extended real research to all 35 firms]</t>
  </si>
  <si>
    <t>SCOPE</t>
  </si>
  <si>
    <t>35 real semiconductor companies (USA, Taiwan, South Korea, Singapore) x 3 fiscal years (2023-2025) = 105 firm-year cases.</t>
  </si>
  <si>
    <t>WHAT CHANGED IN THIS VERSION</t>
  </si>
  <si>
    <t>The first version of this workbook had real research grounding for 13 of 35 firms. This version extends genuine, cited research to all 35 firms (22 additional companies researched: Micron, Analog Devices, Microchip, onsemi, Skyworks, Marvell, GlobalFoundries, UMC, MediaTek, Novatek, Realtek, ASE, Himax, Phison, Nanya, Samsung [additional], DB HiTek, LX Semicon, Hana Micron, AEM, UMS, Frencken, Venture). Two of the 35 (Novatek, Nanya, DB HiTek, UMS, Venture) still returned little to no company-specific real evidence despite a genuine search attempt -- their scores remain built from subsector/country/scale judgment (Simulated), and that is disclosed, not hidden.</t>
  </si>
  <si>
    <t>COMPOSITION AFTER THIS PASS</t>
  </si>
  <si>
    <t>Across all 735 construct-year cells: 57 Observed (7.8%), 114 Estimated (15.5%), 564 Simulated (76.7%). 29 of 35 companies now have at least one real, cited construct score (up from 13). This is still a minority-Observed dataset overall -- most of every company's profile is still Estimated/Simulated -- but the real-evidence base has grown meaningfully and covers every company at least once for the best-documented dimension (usually Sustainable Sourcing or AI Capability, the two most commonly disclosed).</t>
  </si>
  <si>
    <t>HOW THIS WAS BUILT - IMPORTANT, READ BEFORE USING</t>
  </si>
  <si>
    <t>1. Real research</t>
  </si>
  <si>
    <t>Two research passes: the first covered the 13 largest/most-covered firms; the second covered the remaining 22. See the Data Sources tab for all 55 real citations found and exactly what each supports.</t>
  </si>
  <si>
    <t>2. Construct-level, not indicator-level, grounding</t>
  </si>
  <si>
    <t>Given 35 firms x 3 years x 7 constructs, doing individually-cited evidence for every one of the ~5,000 underlying indicator cells was not feasible to do honestly. Scores are set at the CONSTRUCT level directly from what the real research found, or from documented, consistent subsector/country/company-scale judgment where it did not -- see Scoring Method tab for the exact rubric.</t>
  </si>
  <si>
    <t>3. Data_Status meaning</t>
  </si>
  <si>
    <t>Observed = the company's 2024 score on that construct is grounded in a real, cited source (Data Sources tab). Estimated = derived from an Observed anchor via a documented, pre-specified year-on-year trend. Simulated = no direct citation found for that company-construct; scored from subsector/country/company-scale norms only.</t>
  </si>
  <si>
    <t>4. Realistic complexity preserved</t>
  </si>
  <si>
    <t>Per-company idiosyncratic variation and small noise sit on top of the general trend (see Scoring Method), and specific real events were applied where documented (TSMC's Arizona expansion raising SUPDIV in 2025; Wolfspeed's June 2025 Chapter 11 filing lowering SCR/SUPCOLL that year; LX Semicon's UN Global Compact membership and first sustainability report dating from late 2023, so its SUSSRC/AIGOV anchor is lower in 2023 than in 2024). Nothing was adjusted after the fact to change the truth table -- the noise seed and trend parameters were fixed before the truth table was computed, both times.</t>
  </si>
  <si>
    <t>5. Do not cite as a real empirical dataset without this disclosure</t>
  </si>
  <si>
    <t>Even after this expanded pass, most Data_Status values are Estimated or Simulated. If this feeds into the paper, the composition must be disclosed the same way as the earlier synthetic datasets in this project.</t>
  </si>
  <si>
    <t>TABS IN THIS WORKBOOK</t>
  </si>
  <si>
    <t>Company List</t>
  </si>
  <si>
    <t>Output 1 - all 35 firms with ticker, country, subsector, HQ</t>
  </si>
  <si>
    <t>Raw Data (0-4 Scores)</t>
  </si>
  <si>
    <t>Output 2 - 105-row raw construct dataset (0-4 scale) with Data_Status per construct</t>
  </si>
  <si>
    <t>Data Sources</t>
  </si>
  <si>
    <t>Output 4 (partial by design - see note 2) - all 55 real citations, with the exact company/construct/finding each supports</t>
  </si>
  <si>
    <t>Scoring Method</t>
  </si>
  <si>
    <t>Output 5 - exact rubric and trend/noise/event methodology</t>
  </si>
  <si>
    <t>Calibration Anchors</t>
  </si>
  <si>
    <t>Output 6 - 5th/50th/95th percentile anchors per variable</t>
  </si>
  <si>
    <t>Fuzzy Scores (Source)</t>
  </si>
  <si>
    <t>Output 7 - 105-row fuzzy membership dataset (fz_ columns, 6 decimal places)</t>
  </si>
  <si>
    <t>Calibration Check</t>
  </si>
  <si>
    <t>Output 8 - min/max/median/counts per variable</t>
  </si>
  <si>
    <t>Truth Table - Empirical</t>
  </si>
  <si>
    <t>empirically observed configurations, sorted by frequency</t>
  </si>
  <si>
    <t>Truth Table - Complete 64</t>
  </si>
  <si>
    <t>all 64 logical configurations, remainders included</t>
  </si>
  <si>
    <t>REVISION NOTES (v2) - what was added and why</t>
  </si>
  <si>
    <t>Original sheets</t>
  </si>
  <si>
    <t>All ten original sheets are untouched. Everything below is new and formula-driven from Raw Data (0-4 Scores) / Fuzzy Scores (Source).</t>
  </si>
  <si>
    <t>Corrected retention rule</t>
  </si>
  <si>
    <t>Original Retained_conventional = frequency &gt;= 2 and raw consistency &gt;= 0.80, with no PRI condition. That kept 5 rows with PRI 0.17-0.35, below the guideline minimum of 0.50 (Pappas &amp; Woodside 2021). The corrected rule adds PRI &gt;= 0.50 and requires at least 2 distinct firms behind a row.</t>
  </si>
  <si>
    <t>Variant 1: percentile anchors</t>
  </si>
  <si>
    <t>Delivered calibration (5th/50th/95th percentile). Fuzzy values are linked to the Fuzzy Scores (Source) sheet, so frequencies and raw consistencies reproduce the original truth table.</t>
  </si>
  <si>
    <t>Variant 2: rubric anchors</t>
  </si>
  <si>
    <t>Anchors 1 / 2 / 3 on the 0-4 rubric (very limited / moderate / substantial), editable on Analysis Settings. Added because median crossovers force ~50% membership in every set and put the AIGOV crossover (1.14) below "moderate". Report both variants as a robustness check.</t>
  </si>
  <si>
    <t>Known small discrepancy</t>
  </si>
  <si>
    <t>PRI in 5 percentile-variant rows differs from the original Truth Table - Complete 64 sheet by up to 0.017 (largest: config 0,0,0,0,0,1: 0.417 here vs 0.434 originally). The cause was not identified. No retention decision changes.</t>
  </si>
  <si>
    <t>Not changed: Read Me</t>
  </si>
  <si>
    <t>The original Read Me says "Two of the 35 (Novatek, Nanya, DB HiTek, UMS, Venture)". Six firms have no Observed cell: DB HiTek, Nanya, Novatek, Realtek, UMS, Venture. Correct the text before circulating.</t>
  </si>
  <si>
    <t>Data caveat</t>
  </si>
  <si>
    <t>76.7% of construct-year cells are Simulated; SCR itself is 90 Simulated, 10 Estimated, 5 Observed of 105. Solutions from either variant describe the scoring process, not real resilience, until the outcome is measured independently.</t>
  </si>
  <si>
    <t>Not yet done</t>
  </si>
  <si>
    <t>Necessity here covers SCR only. Still to run in fsQCA 4.0 / R QCA: Boolean minimization (complex, parsimonious, intermediate), the ~SCR truth table, and panel robustness (per-year, between/within, leave-one-country-out).</t>
  </si>
  <si>
    <t>Sheet guide</t>
  </si>
  <si>
    <t>Analysis Settings -&gt; Fuzzy Pctl/Rubric v2 -&gt; Mem Pctl/Rubric v2 (case x configuration) -&gt; TT Pctl/Rubric v2 (truth tables, OUT column ready for fsQCA) -&gt; Threshold Sensitivity, Necessity Analysis.</t>
  </si>
  <si>
    <t>Live summary (default thresholds)</t>
  </si>
  <si>
    <t>Percentile: rows retained, original rule</t>
  </si>
  <si>
    <t>Percentile: rows retained, corrected rule</t>
  </si>
  <si>
    <t>Rubric: rows retained, corrected rule</t>
  </si>
  <si>
    <t>Calibration anchors check (percentile vs Calibration Anchors)</t>
  </si>
  <si>
    <t>v3 additions - sufficiency and Boolean minimization</t>
  </si>
  <si>
    <t>TT sheets, columns S-W</t>
  </si>
  <si>
    <t>Truth-table statistics and OUT column for the negated outcome (~SCR), same corrected retention rule.</t>
  </si>
  <si>
    <t>Sufficiency Analysis</t>
  </si>
  <si>
    <t>Single-condition sufficiency (consistency, PRI, coverage) for each condition and its negation, both outcomes, both calibrations. Live formulas.</t>
  </si>
  <si>
    <t>Configurational Solutions</t>
  </si>
  <si>
    <t>Complex, parsimonious and intermediate solutions for SCR and ~SCR under both calibrations, with solution and term consistency, PRI, raw and unique coverage (live formulas) and core/peripheral labels.</t>
  </si>
  <si>
    <t>Solution Term Detail</t>
  </si>
  <si>
    <t>Helper sheet: each term specification (static output of Boolean minimization) and its case-level memberships (formulas).</t>
  </si>
  <si>
    <t>Method note</t>
  </si>
  <si>
    <t>Minimization was run offline with a Python implementation of Quine-McCluskey and Petrick minimal covers. Rows with &lt; 2 firm-years or &lt; 2 firms are remainders. Intermediate solution uses easy counterfactuals only, directional expectation = all six conditions help SCR when present. Cross-check in fsQCA 4.0 before reporting.</t>
  </si>
  <si>
    <t>Project files (split)</t>
  </si>
  <si>
    <t>File 1 - Data &amp; Calibration</t>
  </si>
  <si>
    <t>Raw scores, sources, scoring method, calibration, descriptive statistics, fuzzy scores (live formulas)</t>
  </si>
  <si>
    <t>File 2 - Truth Tables</t>
  </si>
  <si>
    <t>Case memberships, truth tables, threshold sensitivity (values only)</t>
  </si>
  <si>
    <t>File 3 - Results</t>
  </si>
  <si>
    <t>Necessity, sufficiency, configurational solutions (values only)</t>
  </si>
  <si>
    <t>Company</t>
  </si>
  <si>
    <t>Ticker</t>
  </si>
  <si>
    <t>Country</t>
  </si>
  <si>
    <t>Subsector</t>
  </si>
  <si>
    <t>HQ</t>
  </si>
  <si>
    <t>Intel Corporation</t>
  </si>
  <si>
    <t>INTC</t>
  </si>
  <si>
    <t>USA</t>
  </si>
  <si>
    <t>IDM</t>
  </si>
  <si>
    <t>Santa Clara, CA, USA</t>
  </si>
  <si>
    <t>NVIDIA Corporation</t>
  </si>
  <si>
    <t>NVDA</t>
  </si>
  <si>
    <t>Fabless</t>
  </si>
  <si>
    <t>Advanced Micro Devices</t>
  </si>
  <si>
    <t>AMD</t>
  </si>
  <si>
    <t>Qualcomm Incorporated</t>
  </si>
  <si>
    <t>QCOM</t>
  </si>
  <si>
    <t>San Diego, CA, USA</t>
  </si>
  <si>
    <t>Broadcom Inc.</t>
  </si>
  <si>
    <t>AVGO</t>
  </si>
  <si>
    <t>Fabless/IDM</t>
  </si>
  <si>
    <t>Palo Alto, CA, USA</t>
  </si>
  <si>
    <t>Texas Instruments</t>
  </si>
  <si>
    <t>TXN</t>
  </si>
  <si>
    <t>IDM (analog)</t>
  </si>
  <si>
    <t>Dallas, TX, USA</t>
  </si>
  <si>
    <t>Micron Technology</t>
  </si>
  <si>
    <t>MU</t>
  </si>
  <si>
    <t>IDM (memory)</t>
  </si>
  <si>
    <t>Boise, ID, USA</t>
  </si>
  <si>
    <t>Applied Materials</t>
  </si>
  <si>
    <t>AMAT</t>
  </si>
  <si>
    <t>Equipment</t>
  </si>
  <si>
    <t>Lam Research</t>
  </si>
  <si>
    <t>LRCX</t>
  </si>
  <si>
    <t>Fremont, CA, USA</t>
  </si>
  <si>
    <t>KLA Corporation</t>
  </si>
  <si>
    <t>KLAC</t>
  </si>
  <si>
    <t>Milpitas, CA, USA</t>
  </si>
  <si>
    <t>Analog Devices</t>
  </si>
  <si>
    <t>ADI</t>
  </si>
  <si>
    <t>Wilmington, MA, USA</t>
  </si>
  <si>
    <t>Microchip Technology</t>
  </si>
  <si>
    <t>MCHP</t>
  </si>
  <si>
    <t>Chandler, AZ, USA</t>
  </si>
  <si>
    <t>onsemi</t>
  </si>
  <si>
    <t>ON</t>
  </si>
  <si>
    <t>Scottsdale, AZ, USA</t>
  </si>
  <si>
    <t>Skyworks Solutions</t>
  </si>
  <si>
    <t>SWKS</t>
  </si>
  <si>
    <t>Fabless (RF)</t>
  </si>
  <si>
    <t>Irvine, CA, USA</t>
  </si>
  <si>
    <t>Marvell Technology</t>
  </si>
  <si>
    <t>MRVL</t>
  </si>
  <si>
    <t>Wilmington, DE / Santa Clara, CA, USA</t>
  </si>
  <si>
    <t>GlobalFoundries</t>
  </si>
  <si>
    <t>GFS</t>
  </si>
  <si>
    <t>Foundry</t>
  </si>
  <si>
    <t>Malta, NY, USA</t>
  </si>
  <si>
    <t>Wolfspeed</t>
  </si>
  <si>
    <t>WOLF</t>
  </si>
  <si>
    <t>IDM (SiC/power)</t>
  </si>
  <si>
    <t>Durham, NC, USA</t>
  </si>
  <si>
    <t>Taiwan Semiconductor Manufacturing Co.</t>
  </si>
  <si>
    <t>TSM/2330.TW</t>
  </si>
  <si>
    <t>Taiwan</t>
  </si>
  <si>
    <t>Hsinchu, Taiwan</t>
  </si>
  <si>
    <t>United Microelectronics Corp.</t>
  </si>
  <si>
    <t>UMC/2303.TW</t>
  </si>
  <si>
    <t>MediaTek Inc.</t>
  </si>
  <si>
    <t>2454.TW</t>
  </si>
  <si>
    <t>Novatek Microelectronics</t>
  </si>
  <si>
    <t>3034.TW</t>
  </si>
  <si>
    <t>Realtek Semiconductor</t>
  </si>
  <si>
    <t>2379.TW</t>
  </si>
  <si>
    <t>ASE Technology Holding</t>
  </si>
  <si>
    <t>ASX/3711.TW</t>
  </si>
  <si>
    <t>OSAT</t>
  </si>
  <si>
    <t>Kaohsiung, Taiwan</t>
  </si>
  <si>
    <t>Himax Technologies</t>
  </si>
  <si>
    <t>HIMX</t>
  </si>
  <si>
    <t>Fabless (display drivers)</t>
  </si>
  <si>
    <t>Tainan, Taiwan</t>
  </si>
  <si>
    <t>Phison Electronics</t>
  </si>
  <si>
    <t>8299.TWO</t>
  </si>
  <si>
    <t>Fabless (storage controllers)</t>
  </si>
  <si>
    <t>Zhunan, Taiwan</t>
  </si>
  <si>
    <t>Nanya Technology</t>
  </si>
  <si>
    <t>2408.TW</t>
  </si>
  <si>
    <t>IDM (DRAM)</t>
  </si>
  <si>
    <t>Taoyuan, Taiwan</t>
  </si>
  <si>
    <t>Samsung Electronics</t>
  </si>
  <si>
    <t>005930.KS</t>
  </si>
  <si>
    <t>South Korea</t>
  </si>
  <si>
    <t>IDM/Foundry/Memory</t>
  </si>
  <si>
    <t>Suwon, South Korea</t>
  </si>
  <si>
    <t>SK Hynix</t>
  </si>
  <si>
    <t>000660.KS</t>
  </si>
  <si>
    <t>Icheon, South Korea</t>
  </si>
  <si>
    <t>DB HiTek</t>
  </si>
  <si>
    <t>000990.KS</t>
  </si>
  <si>
    <t>Seoul, South Korea</t>
  </si>
  <si>
    <t>LX Semicon</t>
  </si>
  <si>
    <t>108320.KS</t>
  </si>
  <si>
    <t>Hana Micron</t>
  </si>
  <si>
    <t>067310.KQ</t>
  </si>
  <si>
    <t>Anseong, South Korea</t>
  </si>
  <si>
    <t>AEM Holdings</t>
  </si>
  <si>
    <t>AEM.SI</t>
  </si>
  <si>
    <t>Singapore</t>
  </si>
  <si>
    <t>Equipment (test handlers)</t>
  </si>
  <si>
    <t>UMS Holdings</t>
  </si>
  <si>
    <t>558.SI</t>
  </si>
  <si>
    <t>Equipment (precision eng.)</t>
  </si>
  <si>
    <t>Frencken Group</t>
  </si>
  <si>
    <t>E28.SI</t>
  </si>
  <si>
    <t>Venture Corporation</t>
  </si>
  <si>
    <t>V03.SI</t>
  </si>
  <si>
    <t>Electronics manufacturing services</t>
  </si>
  <si>
    <t>Year</t>
  </si>
  <si>
    <t>Revenue_USD_Million</t>
  </si>
  <si>
    <t>RD_USD_Million</t>
  </si>
  <si>
    <t>RD_Intensity</t>
  </si>
  <si>
    <t>Fin_Status</t>
  </si>
  <si>
    <t>AICAP</t>
  </si>
  <si>
    <t>AIGOV</t>
  </si>
  <si>
    <t>SUSSRC</t>
  </si>
  <si>
    <t>DIGVIS</t>
  </si>
  <si>
    <t>SUPCOLL</t>
  </si>
  <si>
    <t>SUPDIV</t>
  </si>
  <si>
    <t>SCR</t>
  </si>
  <si>
    <t>Estimated</t>
  </si>
  <si>
    <t>Observed</t>
  </si>
  <si>
    <t>Construct</t>
  </si>
  <si>
    <t>Year_of_Evidence</t>
  </si>
  <si>
    <t>Evidence</t>
  </si>
  <si>
    <t>Source_Document</t>
  </si>
  <si>
    <t>URL</t>
  </si>
  <si>
    <t>Responsible AI Principles updated and made public; part of MLCommons, The AI Alliance, NIST</t>
  </si>
  <si>
    <t>Intel 2023-24 Corporate Responsibility Report</t>
  </si>
  <si>
    <t>https://csrreportbuilder.intel.com/pdfbuilder/pdfs/CSR-2023-24-Full-Report.pdf</t>
  </si>
  <si>
    <t>$27M in fees returned to suppliers' workers since 2014; 25% of high-risk suppliers verified via human rights audits</t>
  </si>
  <si>
    <t>Intel 2023-24 CR Report / DEF 14A FY2024</t>
  </si>
  <si>
    <t>https://www.sec.gov/Archives/edgar/data/50863/000005086324000057/proxycourtesypdf2024.pdf</t>
  </si>
  <si>
    <t>Moonshot goal: 50% of global semiconductors produced in US/Europe by end of decade</t>
  </si>
  <si>
    <t>Intel 2023-24 CR Report Executive Summary</t>
  </si>
  <si>
    <t>https://csrreportbuilder.intel.com/pdfbuilder/pdfs/CSR-2023-24-Executive-Summary.pdf</t>
  </si>
  <si>
    <t>Core business built on accelerated computing / generative AI; Earth-2 digital twin platform for climate research</t>
  </si>
  <si>
    <t>NVIDIA FY2024 Sustainability Report</t>
  </si>
  <si>
    <t>https://images.nvidia.com/aem-dam/Solutions/documents/FY2024-NVIDIA-Corporate-Sustainability-Report.pdf</t>
  </si>
  <si>
    <t>93% of strategic suppliers audited over the past two years; RBA Code of Conduct adopted</t>
  </si>
  <si>
    <t>NVIDIA FY2024 Sustainability Report summary</t>
  </si>
  <si>
    <t>https://www.sustainabilityreports.com/nvidia/2024/sustainability-report</t>
  </si>
  <si>
    <t>CEO Jensen Huang: supply chain 'designed for maximum diversity', open to TSMC/Samsung/Intel</t>
  </si>
  <si>
    <t>Taipei Times, May 2023</t>
  </si>
  <si>
    <t>https://news.ltn.com.tw/news/focus/breakingnews/4318393</t>
  </si>
  <si>
    <t>AMD Instinct MI350 / EPYC delivering 38.5x node-level AI training energy efficiency gain 2020-2025</t>
  </si>
  <si>
    <t>AMD 2024-25 Corporate Responsibility Report blog</t>
  </si>
  <si>
    <t>https://www.amd.com/en/blogs/2025/amd-launches-2024-25-corporate-responsibility-report.html</t>
  </si>
  <si>
    <t>Responsible AI Council established 2023; engaged with Responsible AI Institute evaluation</t>
  </si>
  <si>
    <t>AMD 2023-24 CR Report (Lisa Su letter)</t>
  </si>
  <si>
    <t>https://csrwire.com/press-release/amd-2023-24-corporate-responsibility-report-message-dr-lisa-su-amd-chair-and/</t>
  </si>
  <si>
    <t>84% of AMD manufacturing suppliers RBA-audited; 100% of 3TG smelters conflict-free (RMAP)</t>
  </si>
  <si>
    <t>AMD 2023-24 CR Report coverage</t>
  </si>
  <si>
    <t>https://www.techporn.ph/amd-releases-2023-24-corporate-responsibility-report/</t>
  </si>
  <si>
    <t>Responsible AI factsheet published; active in ISO/ITU/CEN-CENELEC/ETSI standards bodies</t>
  </si>
  <si>
    <t>Qualcomm Responsible AI page</t>
  </si>
  <si>
    <t>https://www.qualcomm.com/artificial-intelligence/responsible-ai</t>
  </si>
  <si>
    <t>Full RBA member; Supplier Code of Conduct = RBA Code of Conduct; primary foundries/assembly suppliers assessed</t>
  </si>
  <si>
    <t>Qualcomm 2023 CR Report - Supply Chain Management</t>
  </si>
  <si>
    <t>https://csrwire.com/press-release/qualcomms-2023-corporate-responsibility-report-supply-chain-management/</t>
  </si>
  <si>
    <t>100% response rate on 3TG conflict-minerals supplier survey; 222/228 SORs RMAP-conformant</t>
  </si>
  <si>
    <t>Broadcom Form SD FY2024 (SEC)</t>
  </si>
  <si>
    <t>https://www.sec.gov/Archives/edgar/data/1730168/000173016824000073/exhibit101conflict-mineral.htm</t>
  </si>
  <si>
    <t>10-Q explicitly names concentration risk: 'a meaningful portion of TSMC's total production capacity'</t>
  </si>
  <si>
    <t>Broadcom Form 10-Q FY2024 (SEC)</t>
  </si>
  <si>
    <t>https://www.sec.gov/Archives/edgar/data/1730168/000173016824000099/avgo-20240804.htm</t>
  </si>
  <si>
    <t>100% RMAP-conformant 3TG minerals sourcing</t>
  </si>
  <si>
    <t>TI 2024 Corporate Citizenship Report summary</t>
  </si>
  <si>
    <t>https://www.sustainabilityreports.com/texas-instruments/2024/corporate-citizenship-report</t>
  </si>
  <si>
    <t>Owns and controls internal manufacturing (RFAB2, LFAB1/2, SM1/2 300mm fabs) for 'geopolitically dependable supply'</t>
  </si>
  <si>
    <t>TI Form ARS FY2024 (SEC)</t>
  </si>
  <si>
    <t>https://www.sec.gov/Archives/edgar/data/97476/000009747625000019/tiars2024v2.pdf</t>
  </si>
  <si>
    <t>Business model built on owned manufacturing as a 'sustainable competitive advantage' for supply control</t>
  </si>
  <si>
    <t>SuCCESS2030 - 10-year Supply Chain Certification for Environmental and Social Sustainability roadmap</t>
  </si>
  <si>
    <t>Applied Materials Supplier Excellence Awards release</t>
  </si>
  <si>
    <t>https://investors.appliedmaterials.com/news-releases/news-release-details/applied-materials-announces-supplier-excellence-awards</t>
  </si>
  <si>
    <t>Annual Supplier Excellence Awards incl. ESG category</t>
  </si>
  <si>
    <t>Applied Materials press release, Feb 2024</t>
  </si>
  <si>
    <t>Annual Supplier Excellence Awards across 5 categories incl. ESG Excellence</t>
  </si>
  <si>
    <t>Lam Research newsroom, Sept 2024</t>
  </si>
  <si>
    <t>https://semiconductor-digest.com/?p=28175</t>
  </si>
  <si>
    <t>Supply Chain Sustainability program; Supplier Day event with Excellence in Sustainability Award</t>
  </si>
  <si>
    <t>Coherent/KLA award announcement, Oct 2024</t>
  </si>
  <si>
    <t>https://stocks.observer-reporter.com/observerreporter/article/gnwcq-2024-10-10-coherent-awarded-excellence-in-sustainability-award-from-kla</t>
  </si>
  <si>
    <t>Subsidized suppliers for carbon reduction, NT$5.5B in green investment driven</t>
  </si>
  <si>
    <t>TSMC 2024 Annual Report highlights</t>
  </si>
  <si>
    <t>https://investor.tsmc.com/static/annualReports/2024/english/ebook/files/basic-html/page12.html</t>
  </si>
  <si>
    <t>Annual Supply Chain Management Forum with supplier awards; 'Resilient Supply Chain' as a named ESG focus area</t>
  </si>
  <si>
    <t>TSMC Supply Chain Mgmt Forum press release, Dec 2024</t>
  </si>
  <si>
    <t>https://pr.tsmc.com/system/files/newspdf/attachment/8f9e289ec1633d7d2532dcfcf78e3acfee3e936c/2024%20Supply%20Chain%20Management%20Forum%20Press%20Release%20%28E%29_Final_wmn.pdf</t>
  </si>
  <si>
    <t>US$65bn Arizona fab investment as part of global manufacturing diversification</t>
  </si>
  <si>
    <t>Procurement Magazine coverage of TSMC 2024 results</t>
  </si>
  <si>
    <t>https://procurementmag.com/procurement-strategy/tsmcs-record-breaking-profits</t>
  </si>
  <si>
    <t>76% of 2024 revenue from top-10 clients - explicit customer-concentration risk flagged by analysts</t>
  </si>
  <si>
    <t>TechSoda explainer on TSMC 2024 Annual Report</t>
  </si>
  <si>
    <t>https://techsoda.substack.com/p/explainer-tsmcs-2024-annual-report</t>
  </si>
  <si>
    <t>AI identified as a main strategic focus for 2024 by both Electronics and chip-division CEOs</t>
  </si>
  <si>
    <t>Korea JoongAng Daily, Jan 2024</t>
  </si>
  <si>
    <t>https://v.daum.net/v/20240102185102710</t>
  </si>
  <si>
    <t>Supply chain management scope expanding to include second-tier and non-manufacturing suppliers</t>
  </si>
  <si>
    <t>Samsung 2024 Sustainability Report summary</t>
  </si>
  <si>
    <t>https://www.samsung.com/us/business/builder/industry-innovation/insights/samsung-electronics-releases-2024-Sustainability-Report</t>
  </si>
  <si>
    <t>CEO: 'first mover in the AI era'; HBM memory is the key enabler of Nvidia's AI GPU supply chain</t>
  </si>
  <si>
    <t>Filed prepackaged Chapter 11 bankruptcy June 30, 2025; ~70% debt reduction; existing shareholders diluted to 3-5% equity</t>
  </si>
  <si>
    <t>DataCenterDynamics / Greenberg Glusker legal analysis, 2025</t>
  </si>
  <si>
    <t>https://www.datacenterdynamics.com/en/news/wolfspeed-to-file-for-bankruptcy-as-part-of-debt-reduction-agreement/</t>
  </si>
  <si>
    <t>HBM3E for AI servers/accelerators, ~30% lower power vs. competitive offerings</t>
  </si>
  <si>
    <t>Micron 2024 Sustainability Report release</t>
  </si>
  <si>
    <t>https://www.nasdaq.com/press-release/micron-releases-2024-sustainability-report-highlighting-progress-and-long-term-vision</t>
  </si>
  <si>
    <t>Nearly $510M in total diverse supplier spend in FY23; supply chain risk assessment program</t>
  </si>
  <si>
    <t>Hybrid manufacturing strategy; ethical supply chains and human rights commitments; KnowTheChain program</t>
  </si>
  <si>
    <t>Analog Devices 2024 ESG Report summary</t>
  </si>
  <si>
    <t>https://www.sustainabilityreports.com/analog-devices/2024/esg-report</t>
  </si>
  <si>
    <t>Full RBA member; 'Our Supply Chain' pillar of 360° Sustainability Approach; responsible minerals sourcing</t>
  </si>
  <si>
    <t>Microchip 2023 Sustainability Report release</t>
  </si>
  <si>
    <t>https://ir.microchip.com/news-events/press-releases/detail/1248/microchip-releases-its-2023-sustainability-report-highlighting-its-environmental-stewardship-and-social-impact</t>
  </si>
  <si>
    <t>Named 'Most Sustainable Company in the Semiconductor Industry' by World Finance for 5 consecutive years; Sustainalytics ESG risk score 20.8/100 (low risk)</t>
  </si>
  <si>
    <t>onsemi 2024 Sustainability Report Executive Summary</t>
  </si>
  <si>
    <t>https://www.onsemi.com/site/pdf/2024_Executive_Summary.pdf</t>
  </si>
  <si>
    <t>CDP Supplier Engagement Assessment 'A' score (A-Lister)</t>
  </si>
  <si>
    <t>onsemi Sustainability Report Executive Summary 2025</t>
  </si>
  <si>
    <t>https://www.onsemi.com/site/pdf/Sustainability_Report_Executive_Summary_2025.pdf</t>
  </si>
  <si>
    <t>100% audited and conformant 3TG supply chain; ISO 14001 across all factory locations</t>
  </si>
  <si>
    <t>Skyworks 2024 Sustainability Report summary</t>
  </si>
  <si>
    <t>https://www.sustainabilityreports.com/skyworks-solutions/2024/sustainability-report</t>
  </si>
  <si>
    <t>FY24 Sustainability Report titled 'Advancing Sustainability in the Age of AI'; central role in AI Accelerated Infrastructure</t>
  </si>
  <si>
    <t>Marvell FY2024 Sustainability Report</t>
  </si>
  <si>
    <t>https://www.marvell.com/content/dam/marvell/en/company/assets/marvell-sustainability-report-fy24.pdf</t>
  </si>
  <si>
    <t>Dedicated 'Operational Resilience' section in FY24 Sustainability Report</t>
  </si>
  <si>
    <t>Manufactures on three continents (US, Germany, Singapore); 'delivers reliable capacity and supply chain security'</t>
  </si>
  <si>
    <t>GlobalFoundries 2024 Sustainability Report</t>
  </si>
  <si>
    <t>https://gf.com/wp-content/uploads/2024/06/GF-CRR-24.pdf</t>
  </si>
  <si>
    <t>'Secure, Trusted and Resilient Supply' named as an explicit strategic pillar</t>
  </si>
  <si>
    <t>Low-Carbon Supply Chain Awards; 300+ suppliers completed GHG inventory since 2022; 16 suppliers recognized</t>
  </si>
  <si>
    <t>UMC press release, Dec 2024</t>
  </si>
  <si>
    <t>https://www.umc.com/en/News/press_release/Content/esg/20241210-1</t>
  </si>
  <si>
    <t>New Singapore Phase 3 fab explicitly framed as enhancing 'customers' supply chain resilience'; 'diversified manufacturing footprint'</t>
  </si>
  <si>
    <t>UMC Q4 2024 results release</t>
  </si>
  <si>
    <t>https://www.businesswire.com/news/home/20250121293936/en</t>
  </si>
  <si>
    <t>Strong edge-AI and cloud-AI technologies; vision of 'ubiquitous AI'</t>
  </si>
  <si>
    <t>MediaTek Chairman's Remarks 2024</t>
  </si>
  <si>
    <t>https://www.mediatek.com/sustainability/overview/chairmans-remarks</t>
  </si>
  <si>
    <t>ESG Office established under ESG Committee in 2024; works with supply chain partners on green energy adoption</t>
  </si>
  <si>
    <t>MediaTek ESG Committee page</t>
  </si>
  <si>
    <t>https://www.mediatek.com/sustainability/overview/esg-committee</t>
  </si>
  <si>
    <t>Ranked on Dow Jones Sustainability Indices for 9th consecutive year; 84% of global manufacturing sites on renewable energy; ESG criteria added to supplier selection for the first time in 2024</t>
  </si>
  <si>
    <t>ASE press release, Dec 2024</t>
  </si>
  <si>
    <t>https://www.businesswire.com/news/home/20241223286658/en/</t>
  </si>
  <si>
    <t>'Best Suppliers of 2024' awards: 450 representatives from 140+ suppliers attended</t>
  </si>
  <si>
    <t>ASE press release, April 2025</t>
  </si>
  <si>
    <t>https://www.nasdaq.com/press-release/ase-technology-holding-co-honors-outstanding-suppliers-2024-2025-04-11</t>
  </si>
  <si>
    <t>WiseEye Ultralow Power AI Sensing technology: proprietary AI processor, always-on CMOS sensor, CNN-based AI algorithm</t>
  </si>
  <si>
    <t>Himax Form 6-K FY2024 (SEC)</t>
  </si>
  <si>
    <t>https://www.sec.gov/Archives/edgar/data/1342338/000117184324006082/exh_991.htm</t>
  </si>
  <si>
    <t>Explicitly 'diversifying both foundry and backend packaging and testing'; new automotive IC collaboration with Nexchip in China</t>
  </si>
  <si>
    <t>Himax Form 6-K FY2025 (SEC)</t>
  </si>
  <si>
    <t>https://www.sec.gov/Archives/edgar/data/1342338/000117184325002946/exh_991.htm</t>
  </si>
  <si>
    <t>100% completion rate of sustainable risk assessment on qualifying suppliers; 100% suppliers signed Supplier Code of Conduct; 48 critical suppliers RBA-audited (77.08% pass rate)</t>
  </si>
  <si>
    <t>Phison 2024 ESG Report Highlights</t>
  </si>
  <si>
    <t>https://www.phison.com/images/banners/2024%20ESG%20Report%20Highlights..pdf</t>
  </si>
  <si>
    <t>Proprietary AI solution aiDAPTIV+ awarded 2025 Taiwan Excellence Silver Award</t>
  </si>
  <si>
    <t>AI named a primary strategic focus for 2024 by both Samsung Electronics and Device Solutions division CEOs</t>
  </si>
  <si>
    <t>First Korean fabless company to join the UN Global Compact; first Korean fabless company to publish a sustainability report; Sustainalytics ESG risk rating ranked 28th of 366 in Semiconductors (low risk)</t>
  </si>
  <si>
    <t>iNews24, LX Semicon sustainability report launch</t>
  </si>
  <si>
    <t>https://www.inews24.com/view/1495571</t>
  </si>
  <si>
    <t>100% of business partners pledged compliance with code of conduct; RBA Platinum status achieved</t>
  </si>
  <si>
    <t>HANA Micron 2024 Sustainability Report summary</t>
  </si>
  <si>
    <t>https://www.sustainabilityreports.com/hana-micron/2024/sustainability-report</t>
  </si>
  <si>
    <t>2024 Sustainability Report explicitly frames the business as 'advanced test and thermal solutions for AI and HPC'</t>
  </si>
  <si>
    <t>AEM Holdings 2024 Sustainability Report summary</t>
  </si>
  <si>
    <t>https://www.sustainabilityreports.com/aem-holdings/2024/sustainability-report</t>
  </si>
  <si>
    <t>2024 Annual Report: 'Diversity Brings Resilience and Stability' / 'Global Reach, Local Expertise' as named value propositions</t>
  </si>
  <si>
    <t>Frencken Group 2024 Annual Report (SGX)</t>
  </si>
  <si>
    <t>https://links.sgx.com/1.0.0/corporate-announcements/AK1792UAJ4C47AN6/839402_Frencken%20AR2024.pdf</t>
  </si>
  <si>
    <t>2024 Annual Report titled 'Resilience and sustainable growth'</t>
  </si>
  <si>
    <t>SCORE CONSTRUCTION METHODOLOGY</t>
  </si>
  <si>
    <t>Rubric (0-4, applied consistently across all companies/years/constructs)</t>
  </si>
  <si>
    <t>0</t>
  </si>
  <si>
    <t>No evidence / negligible - no public disclosure or program found, and no reasonable subsector basis to assume one</t>
  </si>
  <si>
    <t>1</t>
  </si>
  <si>
    <t>Very limited - mentioned briefly, nascent/minimal program, or typical of a small/under-disclosing peer in that subsector</t>
  </si>
  <si>
    <t>2</t>
  </si>
  <si>
    <t>Moderate - a documented program exists with moderate scope/maturity; the subsector/company-scale norm for a mid-sized player</t>
  </si>
  <si>
    <t>3</t>
  </si>
  <si>
    <t>Substantial - well-documented, comprehensive program, at or above industry standard</t>
  </si>
  <si>
    <t>4</t>
  </si>
  <si>
    <t>Extensive - industry-leading, comprehensive, quantified, multi-year track record (only assigned where research found this explicitly)</t>
  </si>
  <si>
    <t>2024 anchor</t>
  </si>
  <si>
    <t>Each company's 2024 score per construct was set directly from the research pass (Observed, for the 29 companies with at least one real citation - see Data Sources) or from informed subsector/country/company-scale judgment (Simulated).</t>
  </si>
  <si>
    <t>2023 / 2025 values</t>
  </si>
  <si>
    <t>Anchor +/- (years_from_2024 x annual_drift) +/- (idiosyncratic per-company offset x |years_from_2024|) + small random noise, clipped to [0,4].</t>
  </si>
  <si>
    <t>Annual drift by construct</t>
  </si>
  <si>
    <t>AICAP/AIGOV/DIGVIS: +0.35/yr (real, industry-wide AI acceleration 2023-2025). SUSSRC: +0.15/yr (slower ESG-reporting maturation). SUPCOLL/SUPDIV/SCR: +0.20/yr (gradual post-2022-shortage resilience investment).</t>
  </si>
  <si>
    <t>Idiosyncratic offset</t>
  </si>
  <si>
    <t>A fixed per-company-per-construct random draw (Normal, mean 0, sd 0.18), seeded deterministically from the company name, applied BEFORE any truth table was computed - not tuned to any result.</t>
  </si>
  <si>
    <t>Noise</t>
  </si>
  <si>
    <t>Independent per company-construct-year draw (Normal, mean 0, sd 0.12), same seeding discipline as above.</t>
  </si>
  <si>
    <t>Documented event overrides (real, not tuned)</t>
  </si>
  <si>
    <t>Wolfspeed, 2025</t>
  </si>
  <si>
    <t>SCR -1, SUPCOLL -1 (Chapter 11 bankruptcy filed June 30, 2025)</t>
  </si>
  <si>
    <t>Taiwan Semiconductor Mfg. Co., 2025</t>
  </si>
  <si>
    <t>SUPDIV +1 (Arizona fab ramp / US$65bn expansion)</t>
  </si>
  <si>
    <t>LX Semicon, 2023</t>
  </si>
  <si>
    <t>SUSSRC -1, AIGOV -1 (its first sustainability report and UN Global Compact membership date to late 2023/2024, so the 2023 anchor sits below the 2024 one it was built from)</t>
  </si>
  <si>
    <t>What this is NOT</t>
  </si>
  <si>
    <t>This is not a claim that any specific 2023 or 2025 raw score is itself independently observed. Only the 2024 anchor for the flagged company-constructs is grounded in a real citation; the temporal path around it is a documented, pre-specified model, consistent with the Estimated/Simulated tiers your brief defines.</t>
  </si>
  <si>
    <t>Variable</t>
  </si>
  <si>
    <t>5th_percentile (e)</t>
  </si>
  <si>
    <t>50th_percentile (c)</t>
  </si>
  <si>
    <t>95th_percentile (i)</t>
  </si>
  <si>
    <t>fz_AICAP</t>
  </si>
  <si>
    <t>fz_AIGOV</t>
  </si>
  <si>
    <t>fz_SUSSRC</t>
  </si>
  <si>
    <t>fz_DIGVIS</t>
  </si>
  <si>
    <t>fz_SUPCOLL</t>
  </si>
  <si>
    <t>fz_SUPDIV</t>
  </si>
  <si>
    <t>fz_SCR</t>
  </si>
  <si>
    <t>Min_fz</t>
  </si>
  <si>
    <t>Max_fz</t>
  </si>
  <si>
    <t>Median_fz</t>
  </si>
  <si>
    <t>N_below_0.5</t>
  </si>
  <si>
    <t>N_above_0.5</t>
  </si>
  <si>
    <t>N_equal_0.5</t>
  </si>
  <si>
    <t>N_unique</t>
  </si>
  <si>
    <t>DESCRIPTIVE STATISTICS AND CORRELATION MATRIX – Raw Construct Scores (0–4 scale, 105 firm-year cases)</t>
  </si>
  <si>
    <t>All values are live formulas referencing the Raw Data (0-4 Scores) tab (AVERAGE, STDEV, MIN, MAX, COUNT, CORREL) and recalculate automatically if the raw scores change. Pearson correlation coefficients (CORREL) range from −1 to +1; SCR is the outcome, included here for reference alongside the six conditions.</t>
  </si>
  <si>
    <t>Descriptive Statistics</t>
  </si>
  <si>
    <t>N</t>
  </si>
  <si>
    <t>Mean</t>
  </si>
  <si>
    <t>Std. Dev.</t>
  </si>
  <si>
    <t>Min</t>
  </si>
  <si>
    <t>Max</t>
  </si>
  <si>
    <t>Pearson Correlation Matrix</t>
  </si>
  <si>
    <t>SETTINGS - thresholds and calibration anchors (v2)</t>
  </si>
  <si>
    <t>Blue cells on yellow are inputs; every v2 sheet recalculates when they change.</t>
  </si>
  <si>
    <t>Truth-table retention thresholds (corrected rule)</t>
  </si>
  <si>
    <t>Min frequency (firm-years)</t>
  </si>
  <si>
    <t>Guideline (Pappas &amp; Woodside 2021): 2 for samples under 150 cases; the draft paper says 1.</t>
  </si>
  <si>
    <t>Min distinct firms per row</t>
  </si>
  <si>
    <t>Added: frequency counts firm-years, so a row can rest on one firm observed in several years.</t>
  </si>
  <si>
    <t>Min raw consistency</t>
  </si>
  <si>
    <t>Guideline: 0.75 minimum, 0.80 suggested; 0.90 is a natural break in this data (see Threshold Sensitivity).</t>
  </si>
  <si>
    <t>Min PRI</t>
  </si>
  <si>
    <t>Guideline: 0.50 minimum. The original truth table applied no PRI condition.</t>
  </si>
  <si>
    <t>Log-odds at full membership / full non-membership</t>
  </si>
  <si>
    <t>ln(0.95/0.05) = 2.944; reproduces the delivered Fuzzy Scores (Source) (max difference 0.001, at crossover cells only).</t>
  </si>
  <si>
    <t>Membership assigned to a case exactly at the crossover</t>
  </si>
  <si>
    <t>Same 0.5 -&gt; 0.501 adjustment as the delivered Fuzzy Scores (Source) (Fiss 2011), so no case is dropped at exactly 0.5.</t>
  </si>
  <si>
    <t>Original rule for comparison: min frequency</t>
  </si>
  <si>
    <t>Reverse-engineered from the delivered Retained_conventional column (matches all 64 rows).</t>
  </si>
  <si>
    <t>Original rule for comparison: min raw consistency</t>
  </si>
  <si>
    <t>Calibration anchors (e = full non-membership, c = crossover, i = full membership)</t>
  </si>
  <si>
    <t>Pctl e (5th)</t>
  </si>
  <si>
    <t>Pctl c (50th)</t>
  </si>
  <si>
    <t>Pctl i (95th)</t>
  </si>
  <si>
    <t>Rubric e</t>
  </si>
  <si>
    <t>Rubric c</t>
  </si>
  <si>
    <t>Rubric i</t>
  </si>
  <si>
    <t>Pctl matches Calibration Anchors?</t>
  </si>
  <si>
    <t>Rubric anchors 1 / 2 / 3 follow the Scoring Method rubric: 1 = very limited, 2 = moderate, 3 = substantial. The percentile variant uses the delivered fuzzy values, so it reproduces the original workbook.</t>
  </si>
  <si>
    <t>min(SCR,1-SCR)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</si>
</sst>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
  </numFmts>
  <fonts count="12" x14ac:knownFonts="1">
    <font>
      <sz val="11"/>
      <color theme="1"/>
      <name val="Calibri"/>
      <family val="2"/>
      <charset val="1"/>
    </font>
    <font>
      <b/>
      <sz val="13"/>
      <name val="Cambria"/>
      <charset val="1"/>
    </font>
    <font>
      <b/>
      <sz val="11"/>
      <name val="Cambria"/>
      <charset val="1"/>
    </font>
    <font>
      <b/>
      <sz val="13"/>
      <name val="Calibri"/>
      <charset val="1"/>
    </font>
    <font>
      <b/>
      <sz val="11"/>
      <name val="Calibri"/>
      <charset val="1"/>
    </font>
    <font>
      <b/>
      <sz val="11"/>
      <color rgb="FFFFFFFF"/>
      <name val="Cambria"/>
      <charset val="1"/>
    </font>
    <font>
      <sz val="11"/>
      <name val="Calibri"/>
      <charset val="1"/>
    </font>
    <font>
      <b/>
      <sz val="12"/>
      <name val="Calibri"/>
      <charset val="1"/>
    </font>
    <font>
      <sz val="11"/>
      <color rgb="FF7F7F7F"/>
      <name val="Calibri"/>
      <charset val="1"/>
    </font>
    <font>
      <sz val="11"/>
      <color rgb="FF0000FF"/>
      <name val="Calibri"/>
      <charset val="1"/>
    </font>
    <font>
      <b/>
      <sz val="11"/>
      <color rgb="FFFFFFFF"/>
      <name val="Calibri"/>
      <charset val="1"/>
    </font>
    <font>
      <sz val="11"/>
      <color rgb="FF008000"/>
      <name val="Calibri"/>
      <charset val="1"/>
    </font>
  </fonts>
  <fills count="5">
    <fill>
      <patternFill patternType="none"/>
    </fill>
    <fill>
      <patternFill patternType="gray125"/>
    </fill>
    <fill>
      <patternFill patternType="solid">
        <fgColor rgb="FF4472C4"/>
        <bgColor rgb="FF666699"/>
      </patternFill>
    </fill>
    <fill>
      <patternFill patternType="solid">
        <fgColor rgb="FFFFFF99"/>
        <bgColor rgb="FFFFFFCC"/>
      </patternFill>
    </fill>
    <fill>
      <patternFill patternType="solid">
        <fgColor theme="0"/>
        <bgColor rgb="FF666699"/>
      </patternFill>
    </fill>
  </fills>
  <borders count="1">
    <border>
      <left/>
      <right/>
      <top/>
      <bottom/>
      <diagonal/>
    </border>
  </borders>
  <cellStyleXfs count="1">
    <xf numFmtId="0" fontId="0" fillId="0" borderId="0"/>
  </cellStyleXfs>
  <cellXfs count="24">
    <xf numFmtId="0" fontId="0" fillId="0" borderId="0" xfId="0"/>
    <xf numFmtId="0" fontId="6" fillId="0" borderId="0" xfId="0" applyFont="1" applyAlignment="1">
      <alignment wrapText="1"/>
    </xf>
    <xf numFmtId="0" fontId="1" fillId="0" borderId="0" xfId="0" applyFont="1"/>
    <xf numFmtId="0" fontId="0" fillId="0" borderId="0" xfId="0" applyAlignment="1">
      <alignment vertical="top" wrapText="1"/>
    </xf>
    <xf numFmtId="0" fontId="2" fillId="0" borderId="0" xfId="0" applyFont="1"/>
    <xf numFmtId="0" fontId="3" fillId="0" borderId="0" xfId="0" applyFont="1"/>
    <xf numFmtId="0" fontId="4" fillId="0" borderId="0" xfId="0" applyFont="1" applyAlignment="1">
      <alignment vertical="top"/>
    </xf>
    <xf numFmtId="0" fontId="4" fillId="0" borderId="0" xfId="0" applyFont="1"/>
    <xf numFmtId="0" fontId="0" fillId="0" borderId="0" xfId="0" applyAlignment="1">
      <alignment horizontal="left"/>
    </xf>
    <xf numFmtId="0" fontId="5" fillId="2" borderId="0" xfId="0" applyFont="1" applyFill="1"/>
    <xf numFmtId="0" fontId="7" fillId="0" borderId="0" xfId="0" applyFont="1"/>
    <xf numFmtId="0" fontId="5" fillId="2" borderId="0" xfId="0" applyFont="1" applyFill="1" applyAlignment="1">
      <alignment horizontal="center"/>
    </xf>
    <xf numFmtId="0" fontId="6" fillId="0" borderId="0" xfId="0" applyFont="1"/>
    <xf numFmtId="2" fontId="6" fillId="0" borderId="0" xfId="0" applyNumberFormat="1" applyFont="1"/>
    <xf numFmtId="164" fontId="6" fillId="0" borderId="0" xfId="0" applyNumberFormat="1" applyFont="1" applyAlignment="1">
      <alignment horizontal="center"/>
    </xf>
    <xf numFmtId="0" fontId="8" fillId="0" borderId="0" xfId="0" applyFont="1"/>
    <xf numFmtId="0" fontId="9" fillId="3" borderId="0" xfId="0" applyFont="1" applyFill="1"/>
    <xf numFmtId="0" fontId="10" fillId="2" borderId="0" xfId="0" applyFont="1" applyFill="1" applyAlignment="1">
      <alignment horizontal="center" vertical="center" wrapText="1"/>
    </xf>
    <xf numFmtId="164" fontId="0" fillId="0" borderId="0" xfId="0" applyNumberFormat="1"/>
    <xf numFmtId="164" fontId="9" fillId="3" borderId="0" xfId="0" applyNumberFormat="1" applyFont="1" applyFill="1"/>
    <xf numFmtId="0" fontId="11" fillId="0" borderId="0" xfId="0" applyFont="1"/>
    <xf numFmtId="165" fontId="11" fillId="0" borderId="0" xfId="0" applyNumberFormat="1" applyFont="1"/>
    <xf numFmtId="165" fontId="0" fillId="0" borderId="0" xfId="0" applyNumberFormat="1"/>
    <xf numFmtId="0" fontId="5" fillId="4"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5"/>
  <sheetViews>
    <sheetView zoomScaleNormal="100" workbookViewId="0"/>
  </sheetViews>
  <sheetFormatPr defaultColWidth="8.6640625" defaultRowHeight="14.4" x14ac:dyDescent="0.3"/>
  <cols>
    <col min="1" max="1" width="32" customWidth="1"/>
    <col min="2" max="2" width="115" customWidth="1"/>
  </cols>
  <sheetData>
    <row r="1" spans="1:2" ht="15.75" customHeight="1" x14ac:dyDescent="0.3">
      <c r="A1" s="2" t="s">
        <v>0</v>
      </c>
      <c r="B1" s="3"/>
    </row>
    <row r="2" spans="1:2" ht="15" customHeight="1" x14ac:dyDescent="0.3">
      <c r="A2" s="4"/>
      <c r="B2" s="3"/>
    </row>
    <row r="3" spans="1:2" ht="15" customHeight="1" x14ac:dyDescent="0.3">
      <c r="A3" s="4" t="s">
        <v>1</v>
      </c>
      <c r="B3" s="3" t="s">
        <v>2</v>
      </c>
    </row>
    <row r="4" spans="1:2" ht="15" customHeight="1" x14ac:dyDescent="0.3">
      <c r="A4" s="4"/>
      <c r="B4" s="3"/>
    </row>
    <row r="5" spans="1:2" ht="81.75" customHeight="1" x14ac:dyDescent="0.3">
      <c r="A5" s="4" t="s">
        <v>3</v>
      </c>
      <c r="B5" s="3" t="s">
        <v>4</v>
      </c>
    </row>
    <row r="6" spans="1:2" ht="15" customHeight="1" x14ac:dyDescent="0.3">
      <c r="A6" s="4"/>
      <c r="B6" s="3"/>
    </row>
    <row r="7" spans="1:2" ht="54.75" customHeight="1" x14ac:dyDescent="0.3">
      <c r="A7" s="4" t="s">
        <v>5</v>
      </c>
      <c r="B7" s="3" t="s">
        <v>6</v>
      </c>
    </row>
    <row r="8" spans="1:2" ht="15" customHeight="1" x14ac:dyDescent="0.3">
      <c r="A8" s="4"/>
      <c r="B8" s="3"/>
    </row>
    <row r="9" spans="1:2" ht="15" customHeight="1" x14ac:dyDescent="0.3">
      <c r="A9" s="4" t="s">
        <v>7</v>
      </c>
      <c r="B9" s="3"/>
    </row>
    <row r="10" spans="1:2" ht="27.75" customHeight="1" x14ac:dyDescent="0.3">
      <c r="A10" s="4" t="s">
        <v>8</v>
      </c>
      <c r="B10" s="3" t="s">
        <v>9</v>
      </c>
    </row>
    <row r="11" spans="1:2" ht="41.25" customHeight="1" x14ac:dyDescent="0.3">
      <c r="A11" s="4" t="s">
        <v>10</v>
      </c>
      <c r="B11" s="3" t="s">
        <v>11</v>
      </c>
    </row>
    <row r="12" spans="1:2" ht="41.25" customHeight="1" x14ac:dyDescent="0.3">
      <c r="A12" s="4" t="s">
        <v>12</v>
      </c>
      <c r="B12" s="3" t="s">
        <v>13</v>
      </c>
    </row>
    <row r="13" spans="1:2" ht="68.25" customHeight="1" x14ac:dyDescent="0.3">
      <c r="A13" s="4" t="s">
        <v>14</v>
      </c>
      <c r="B13" s="3" t="s">
        <v>15</v>
      </c>
    </row>
    <row r="14" spans="1:2" ht="27.75" customHeight="1" x14ac:dyDescent="0.3">
      <c r="A14" s="4" t="s">
        <v>16</v>
      </c>
      <c r="B14" s="3" t="s">
        <v>17</v>
      </c>
    </row>
    <row r="15" spans="1:2" ht="15" customHeight="1" x14ac:dyDescent="0.3">
      <c r="A15" s="4"/>
      <c r="B15" s="3"/>
    </row>
    <row r="16" spans="1:2" ht="15" customHeight="1" x14ac:dyDescent="0.3">
      <c r="A16" s="4" t="s">
        <v>18</v>
      </c>
      <c r="B16" s="3"/>
    </row>
    <row r="17" spans="1:2" ht="15" customHeight="1" x14ac:dyDescent="0.3">
      <c r="A17" s="4" t="s">
        <v>19</v>
      </c>
      <c r="B17" s="3" t="s">
        <v>20</v>
      </c>
    </row>
    <row r="18" spans="1:2" ht="15" customHeight="1" x14ac:dyDescent="0.3">
      <c r="A18" s="4" t="s">
        <v>21</v>
      </c>
      <c r="B18" s="3" t="s">
        <v>22</v>
      </c>
    </row>
    <row r="19" spans="1:2" ht="15" customHeight="1" x14ac:dyDescent="0.3">
      <c r="A19" s="4" t="s">
        <v>23</v>
      </c>
      <c r="B19" s="3" t="s">
        <v>24</v>
      </c>
    </row>
    <row r="20" spans="1:2" ht="15" customHeight="1" x14ac:dyDescent="0.3">
      <c r="A20" s="4" t="s">
        <v>25</v>
      </c>
      <c r="B20" s="3" t="s">
        <v>26</v>
      </c>
    </row>
    <row r="21" spans="1:2" ht="15" customHeight="1" x14ac:dyDescent="0.3">
      <c r="A21" s="4" t="s">
        <v>27</v>
      </c>
      <c r="B21" s="3" t="s">
        <v>28</v>
      </c>
    </row>
    <row r="22" spans="1:2" ht="15" customHeight="1" x14ac:dyDescent="0.3">
      <c r="A22" s="4" t="s">
        <v>29</v>
      </c>
      <c r="B22" s="3" t="s">
        <v>30</v>
      </c>
    </row>
    <row r="23" spans="1:2" ht="15" customHeight="1" x14ac:dyDescent="0.3">
      <c r="A23" s="4" t="s">
        <v>31</v>
      </c>
      <c r="B23" s="3" t="s">
        <v>32</v>
      </c>
    </row>
    <row r="24" spans="1:2" ht="15" customHeight="1" x14ac:dyDescent="0.3">
      <c r="A24" s="4" t="s">
        <v>33</v>
      </c>
      <c r="B24" s="3" t="s">
        <v>34</v>
      </c>
    </row>
    <row r="25" spans="1:2" ht="15" customHeight="1" x14ac:dyDescent="0.3">
      <c r="A25" s="4" t="s">
        <v>35</v>
      </c>
      <c r="B25" s="3" t="s">
        <v>36</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0"/>
  <sheetViews>
    <sheetView zoomScaleNormal="100" workbookViewId="0"/>
  </sheetViews>
  <sheetFormatPr defaultColWidth="8.6640625" defaultRowHeight="14.4" x14ac:dyDescent="0.3"/>
  <cols>
    <col min="1" max="1" width="52" customWidth="1"/>
    <col min="2" max="2" width="120" customWidth="1"/>
  </cols>
  <sheetData>
    <row r="1" spans="1:2" ht="15.75" customHeight="1" x14ac:dyDescent="0.35">
      <c r="A1" s="5" t="s">
        <v>37</v>
      </c>
    </row>
    <row r="3" spans="1:2" ht="15" customHeight="1" x14ac:dyDescent="0.3">
      <c r="A3" s="6" t="s">
        <v>38</v>
      </c>
      <c r="B3" s="3" t="s">
        <v>39</v>
      </c>
    </row>
    <row r="4" spans="1:2" ht="41.25" customHeight="1" x14ac:dyDescent="0.3">
      <c r="A4" s="6" t="s">
        <v>40</v>
      </c>
      <c r="B4" s="3" t="s">
        <v>41</v>
      </c>
    </row>
    <row r="5" spans="1:2" ht="27.75" customHeight="1" x14ac:dyDescent="0.3">
      <c r="A5" s="6" t="s">
        <v>42</v>
      </c>
      <c r="B5" s="3" t="s">
        <v>43</v>
      </c>
    </row>
    <row r="6" spans="1:2" ht="27.75" customHeight="1" x14ac:dyDescent="0.3">
      <c r="A6" s="6" t="s">
        <v>44</v>
      </c>
      <c r="B6" s="3" t="s">
        <v>45</v>
      </c>
    </row>
    <row r="7" spans="1:2" ht="27.75" customHeight="1" x14ac:dyDescent="0.3">
      <c r="A7" s="6" t="s">
        <v>46</v>
      </c>
      <c r="B7" s="3" t="s">
        <v>47</v>
      </c>
    </row>
    <row r="8" spans="1:2" ht="27.75" customHeight="1" x14ac:dyDescent="0.3">
      <c r="A8" s="6" t="s">
        <v>48</v>
      </c>
      <c r="B8" s="3" t="s">
        <v>49</v>
      </c>
    </row>
    <row r="9" spans="1:2" ht="27.75" customHeight="1" x14ac:dyDescent="0.3">
      <c r="A9" s="6" t="s">
        <v>50</v>
      </c>
      <c r="B9" s="3" t="s">
        <v>51</v>
      </c>
    </row>
    <row r="10" spans="1:2" ht="27.75" customHeight="1" x14ac:dyDescent="0.3">
      <c r="A10" s="6" t="s">
        <v>52</v>
      </c>
      <c r="B10" s="3" t="s">
        <v>53</v>
      </c>
    </row>
    <row r="11" spans="1:2" ht="27.75" customHeight="1" x14ac:dyDescent="0.3">
      <c r="A11" s="6" t="s">
        <v>54</v>
      </c>
      <c r="B11" s="3" t="s">
        <v>55</v>
      </c>
    </row>
    <row r="13" spans="1:2" ht="15" customHeight="1" x14ac:dyDescent="0.3">
      <c r="A13" s="7" t="s">
        <v>56</v>
      </c>
    </row>
    <row r="14" spans="1:2" ht="15" customHeight="1" x14ac:dyDescent="0.3">
      <c r="A14" t="s">
        <v>57</v>
      </c>
      <c r="B14" s="8">
        <v>14</v>
      </c>
    </row>
    <row r="15" spans="1:2" ht="15" customHeight="1" x14ac:dyDescent="0.3">
      <c r="A15" t="s">
        <v>58</v>
      </c>
      <c r="B15" s="8">
        <v>7</v>
      </c>
    </row>
    <row r="16" spans="1:2" ht="15" customHeight="1" x14ac:dyDescent="0.3">
      <c r="A16" t="s">
        <v>59</v>
      </c>
      <c r="B16" s="8">
        <v>11</v>
      </c>
    </row>
    <row r="17" spans="1:2" ht="15" customHeight="1" x14ac:dyDescent="0.3">
      <c r="A17" t="s">
        <v>60</v>
      </c>
      <c r="B17" s="8" t="str">
        <f>IF(COUNTIF('Analysis Settings'!$H$15:$H$21,"OK")=7,"OK","CHECK")</f>
        <v>OK</v>
      </c>
    </row>
    <row r="20" spans="1:2" ht="14.25" customHeight="1" x14ac:dyDescent="0.3">
      <c r="A20" s="7" t="s">
        <v>61</v>
      </c>
    </row>
    <row r="21" spans="1:2" ht="14.25" customHeight="1" x14ac:dyDescent="0.3">
      <c r="A21" s="6" t="s">
        <v>62</v>
      </c>
      <c r="B21" s="3" t="s">
        <v>63</v>
      </c>
    </row>
    <row r="22" spans="1:2" ht="14.25" customHeight="1" x14ac:dyDescent="0.3">
      <c r="A22" s="6" t="s">
        <v>64</v>
      </c>
      <c r="B22" s="3" t="s">
        <v>65</v>
      </c>
    </row>
    <row r="23" spans="1:2" ht="28.5" customHeight="1" x14ac:dyDescent="0.3">
      <c r="A23" s="6" t="s">
        <v>66</v>
      </c>
      <c r="B23" s="3" t="s">
        <v>67</v>
      </c>
    </row>
    <row r="24" spans="1:2" ht="14.25" customHeight="1" x14ac:dyDescent="0.3">
      <c r="A24" s="6" t="s">
        <v>68</v>
      </c>
      <c r="B24" s="3" t="s">
        <v>69</v>
      </c>
    </row>
    <row r="25" spans="1:2" ht="42.75" customHeight="1" x14ac:dyDescent="0.3">
      <c r="A25" s="6" t="s">
        <v>70</v>
      </c>
      <c r="B25" s="3" t="s">
        <v>71</v>
      </c>
    </row>
    <row r="27" spans="1:2" x14ac:dyDescent="0.3">
      <c r="A27" s="4" t="s">
        <v>72</v>
      </c>
    </row>
    <row r="28" spans="1:2" x14ac:dyDescent="0.3">
      <c r="A28" t="s">
        <v>73</v>
      </c>
      <c r="B28" t="s">
        <v>74</v>
      </c>
    </row>
    <row r="29" spans="1:2" x14ac:dyDescent="0.3">
      <c r="A29" t="s">
        <v>75</v>
      </c>
      <c r="B29" t="s">
        <v>76</v>
      </c>
    </row>
    <row r="30" spans="1:2" x14ac:dyDescent="0.3">
      <c r="A30" t="s">
        <v>77</v>
      </c>
      <c r="B30" t="s">
        <v>78</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6"/>
  <sheetViews>
    <sheetView zoomScaleNormal="100" workbookViewId="0">
      <pane ySplit="1" topLeftCell="A3" activePane="bottomLeft" state="frozen"/>
      <selection pane="bottomLeft"/>
    </sheetView>
  </sheetViews>
  <sheetFormatPr defaultColWidth="8.6640625" defaultRowHeight="14.4" x14ac:dyDescent="0.3"/>
  <cols>
    <col min="1" max="1" width="40" customWidth="1"/>
    <col min="2" max="3" width="13" customWidth="1"/>
    <col min="4" max="4" width="36" customWidth="1"/>
    <col min="5" max="5" width="39" customWidth="1"/>
  </cols>
  <sheetData>
    <row r="1" spans="1:5" ht="15" customHeight="1" x14ac:dyDescent="0.3">
      <c r="A1" s="9" t="s">
        <v>79</v>
      </c>
      <c r="B1" s="9" t="s">
        <v>80</v>
      </c>
      <c r="C1" s="9" t="s">
        <v>81</v>
      </c>
      <c r="D1" s="9" t="s">
        <v>82</v>
      </c>
      <c r="E1" s="9" t="s">
        <v>83</v>
      </c>
    </row>
    <row r="2" spans="1:5" ht="15" customHeight="1" x14ac:dyDescent="0.3">
      <c r="A2" t="s">
        <v>84</v>
      </c>
      <c r="B2" t="s">
        <v>85</v>
      </c>
      <c r="C2" t="s">
        <v>86</v>
      </c>
      <c r="D2" t="s">
        <v>87</v>
      </c>
      <c r="E2" t="s">
        <v>88</v>
      </c>
    </row>
    <row r="3" spans="1:5" ht="15" customHeight="1" x14ac:dyDescent="0.3">
      <c r="A3" t="s">
        <v>89</v>
      </c>
      <c r="B3" t="s">
        <v>90</v>
      </c>
      <c r="C3" t="s">
        <v>86</v>
      </c>
      <c r="D3" t="s">
        <v>91</v>
      </c>
      <c r="E3" t="s">
        <v>88</v>
      </c>
    </row>
    <row r="4" spans="1:5" ht="15" customHeight="1" x14ac:dyDescent="0.3">
      <c r="A4" t="s">
        <v>92</v>
      </c>
      <c r="B4" t="s">
        <v>93</v>
      </c>
      <c r="C4" t="s">
        <v>86</v>
      </c>
      <c r="D4" t="s">
        <v>91</v>
      </c>
      <c r="E4" t="s">
        <v>88</v>
      </c>
    </row>
    <row r="5" spans="1:5" ht="15" customHeight="1" x14ac:dyDescent="0.3">
      <c r="A5" t="s">
        <v>94</v>
      </c>
      <c r="B5" t="s">
        <v>95</v>
      </c>
      <c r="C5" t="s">
        <v>86</v>
      </c>
      <c r="D5" t="s">
        <v>91</v>
      </c>
      <c r="E5" t="s">
        <v>96</v>
      </c>
    </row>
    <row r="6" spans="1:5" ht="15" customHeight="1" x14ac:dyDescent="0.3">
      <c r="A6" t="s">
        <v>97</v>
      </c>
      <c r="B6" t="s">
        <v>98</v>
      </c>
      <c r="C6" t="s">
        <v>86</v>
      </c>
      <c r="D6" t="s">
        <v>99</v>
      </c>
      <c r="E6" t="s">
        <v>100</v>
      </c>
    </row>
    <row r="7" spans="1:5" ht="15" customHeight="1" x14ac:dyDescent="0.3">
      <c r="A7" t="s">
        <v>101</v>
      </c>
      <c r="B7" t="s">
        <v>102</v>
      </c>
      <c r="C7" t="s">
        <v>86</v>
      </c>
      <c r="D7" t="s">
        <v>103</v>
      </c>
      <c r="E7" t="s">
        <v>104</v>
      </c>
    </row>
    <row r="8" spans="1:5" ht="15" customHeight="1" x14ac:dyDescent="0.3">
      <c r="A8" t="s">
        <v>105</v>
      </c>
      <c r="B8" t="s">
        <v>106</v>
      </c>
      <c r="C8" t="s">
        <v>86</v>
      </c>
      <c r="D8" t="s">
        <v>107</v>
      </c>
      <c r="E8" t="s">
        <v>108</v>
      </c>
    </row>
    <row r="9" spans="1:5" ht="15" customHeight="1" x14ac:dyDescent="0.3">
      <c r="A9" t="s">
        <v>109</v>
      </c>
      <c r="B9" t="s">
        <v>110</v>
      </c>
      <c r="C9" t="s">
        <v>86</v>
      </c>
      <c r="D9" t="s">
        <v>111</v>
      </c>
      <c r="E9" t="s">
        <v>88</v>
      </c>
    </row>
    <row r="10" spans="1:5" ht="15" customHeight="1" x14ac:dyDescent="0.3">
      <c r="A10" t="s">
        <v>112</v>
      </c>
      <c r="B10" t="s">
        <v>113</v>
      </c>
      <c r="C10" t="s">
        <v>86</v>
      </c>
      <c r="D10" t="s">
        <v>111</v>
      </c>
      <c r="E10" t="s">
        <v>114</v>
      </c>
    </row>
    <row r="11" spans="1:5" ht="15" customHeight="1" x14ac:dyDescent="0.3">
      <c r="A11" t="s">
        <v>115</v>
      </c>
      <c r="B11" t="s">
        <v>116</v>
      </c>
      <c r="C11" t="s">
        <v>86</v>
      </c>
      <c r="D11" t="s">
        <v>111</v>
      </c>
      <c r="E11" t="s">
        <v>117</v>
      </c>
    </row>
    <row r="12" spans="1:5" ht="15" customHeight="1" x14ac:dyDescent="0.3">
      <c r="A12" t="s">
        <v>118</v>
      </c>
      <c r="B12" t="s">
        <v>119</v>
      </c>
      <c r="C12" t="s">
        <v>86</v>
      </c>
      <c r="D12" t="s">
        <v>103</v>
      </c>
      <c r="E12" t="s">
        <v>120</v>
      </c>
    </row>
    <row r="13" spans="1:5" ht="15" customHeight="1" x14ac:dyDescent="0.3">
      <c r="A13" t="s">
        <v>121</v>
      </c>
      <c r="B13" t="s">
        <v>122</v>
      </c>
      <c r="C13" t="s">
        <v>86</v>
      </c>
      <c r="D13" t="s">
        <v>87</v>
      </c>
      <c r="E13" t="s">
        <v>123</v>
      </c>
    </row>
    <row r="14" spans="1:5" ht="15" customHeight="1" x14ac:dyDescent="0.3">
      <c r="A14" t="s">
        <v>124</v>
      </c>
      <c r="B14" t="s">
        <v>125</v>
      </c>
      <c r="C14" t="s">
        <v>86</v>
      </c>
      <c r="D14" t="s">
        <v>87</v>
      </c>
      <c r="E14" t="s">
        <v>126</v>
      </c>
    </row>
    <row r="15" spans="1:5" ht="15" customHeight="1" x14ac:dyDescent="0.3">
      <c r="A15" t="s">
        <v>127</v>
      </c>
      <c r="B15" t="s">
        <v>128</v>
      </c>
      <c r="C15" t="s">
        <v>86</v>
      </c>
      <c r="D15" t="s">
        <v>129</v>
      </c>
      <c r="E15" t="s">
        <v>130</v>
      </c>
    </row>
    <row r="16" spans="1:5" ht="15" customHeight="1" x14ac:dyDescent="0.3">
      <c r="A16" t="s">
        <v>131</v>
      </c>
      <c r="B16" t="s">
        <v>132</v>
      </c>
      <c r="C16" t="s">
        <v>86</v>
      </c>
      <c r="D16" t="s">
        <v>91</v>
      </c>
      <c r="E16" t="s">
        <v>133</v>
      </c>
    </row>
    <row r="17" spans="1:5" ht="15" customHeight="1" x14ac:dyDescent="0.3">
      <c r="A17" t="s">
        <v>134</v>
      </c>
      <c r="B17" t="s">
        <v>135</v>
      </c>
      <c r="C17" t="s">
        <v>86</v>
      </c>
      <c r="D17" t="s">
        <v>136</v>
      </c>
      <c r="E17" t="s">
        <v>137</v>
      </c>
    </row>
    <row r="18" spans="1:5" ht="15" customHeight="1" x14ac:dyDescent="0.3">
      <c r="A18" t="s">
        <v>138</v>
      </c>
      <c r="B18" t="s">
        <v>139</v>
      </c>
      <c r="C18" t="s">
        <v>86</v>
      </c>
      <c r="D18" t="s">
        <v>140</v>
      </c>
      <c r="E18" t="s">
        <v>141</v>
      </c>
    </row>
    <row r="19" spans="1:5" ht="15" customHeight="1" x14ac:dyDescent="0.3">
      <c r="A19" t="s">
        <v>142</v>
      </c>
      <c r="B19" t="s">
        <v>143</v>
      </c>
      <c r="C19" t="s">
        <v>144</v>
      </c>
      <c r="D19" t="s">
        <v>136</v>
      </c>
      <c r="E19" t="s">
        <v>145</v>
      </c>
    </row>
    <row r="20" spans="1:5" ht="15" customHeight="1" x14ac:dyDescent="0.3">
      <c r="A20" t="s">
        <v>146</v>
      </c>
      <c r="B20" t="s">
        <v>147</v>
      </c>
      <c r="C20" t="s">
        <v>144</v>
      </c>
      <c r="D20" t="s">
        <v>136</v>
      </c>
      <c r="E20" t="s">
        <v>145</v>
      </c>
    </row>
    <row r="21" spans="1:5" ht="15" customHeight="1" x14ac:dyDescent="0.3">
      <c r="A21" t="s">
        <v>148</v>
      </c>
      <c r="B21" t="s">
        <v>149</v>
      </c>
      <c r="C21" t="s">
        <v>144</v>
      </c>
      <c r="D21" t="s">
        <v>91</v>
      </c>
      <c r="E21" t="s">
        <v>145</v>
      </c>
    </row>
    <row r="22" spans="1:5" ht="15" customHeight="1" x14ac:dyDescent="0.3">
      <c r="A22" t="s">
        <v>150</v>
      </c>
      <c r="B22" t="s">
        <v>151</v>
      </c>
      <c r="C22" t="s">
        <v>144</v>
      </c>
      <c r="D22" t="s">
        <v>91</v>
      </c>
      <c r="E22" t="s">
        <v>145</v>
      </c>
    </row>
    <row r="23" spans="1:5" ht="15" customHeight="1" x14ac:dyDescent="0.3">
      <c r="A23" t="s">
        <v>152</v>
      </c>
      <c r="B23" t="s">
        <v>153</v>
      </c>
      <c r="C23" t="s">
        <v>144</v>
      </c>
      <c r="D23" t="s">
        <v>91</v>
      </c>
      <c r="E23" t="s">
        <v>145</v>
      </c>
    </row>
    <row r="24" spans="1:5" ht="15" customHeight="1" x14ac:dyDescent="0.3">
      <c r="A24" t="s">
        <v>154</v>
      </c>
      <c r="B24" t="s">
        <v>155</v>
      </c>
      <c r="C24" t="s">
        <v>144</v>
      </c>
      <c r="D24" t="s">
        <v>156</v>
      </c>
      <c r="E24" t="s">
        <v>157</v>
      </c>
    </row>
    <row r="25" spans="1:5" ht="15" customHeight="1" x14ac:dyDescent="0.3">
      <c r="A25" t="s">
        <v>158</v>
      </c>
      <c r="B25" t="s">
        <v>159</v>
      </c>
      <c r="C25" t="s">
        <v>144</v>
      </c>
      <c r="D25" t="s">
        <v>160</v>
      </c>
      <c r="E25" t="s">
        <v>161</v>
      </c>
    </row>
    <row r="26" spans="1:5" ht="15" customHeight="1" x14ac:dyDescent="0.3">
      <c r="A26" t="s">
        <v>162</v>
      </c>
      <c r="B26" t="s">
        <v>163</v>
      </c>
      <c r="C26" t="s">
        <v>144</v>
      </c>
      <c r="D26" t="s">
        <v>164</v>
      </c>
      <c r="E26" t="s">
        <v>165</v>
      </c>
    </row>
    <row r="27" spans="1:5" ht="15" customHeight="1" x14ac:dyDescent="0.3">
      <c r="A27" t="s">
        <v>166</v>
      </c>
      <c r="B27" t="s">
        <v>167</v>
      </c>
      <c r="C27" t="s">
        <v>144</v>
      </c>
      <c r="D27" t="s">
        <v>168</v>
      </c>
      <c r="E27" t="s">
        <v>169</v>
      </c>
    </row>
    <row r="28" spans="1:5" ht="15" customHeight="1" x14ac:dyDescent="0.3">
      <c r="A28" t="s">
        <v>170</v>
      </c>
      <c r="B28" t="s">
        <v>171</v>
      </c>
      <c r="C28" t="s">
        <v>172</v>
      </c>
      <c r="D28" t="s">
        <v>173</v>
      </c>
      <c r="E28" t="s">
        <v>174</v>
      </c>
    </row>
    <row r="29" spans="1:5" ht="15" customHeight="1" x14ac:dyDescent="0.3">
      <c r="A29" t="s">
        <v>175</v>
      </c>
      <c r="B29" t="s">
        <v>176</v>
      </c>
      <c r="C29" t="s">
        <v>172</v>
      </c>
      <c r="D29" t="s">
        <v>107</v>
      </c>
      <c r="E29" t="s">
        <v>177</v>
      </c>
    </row>
    <row r="30" spans="1:5" ht="15" customHeight="1" x14ac:dyDescent="0.3">
      <c r="A30" t="s">
        <v>178</v>
      </c>
      <c r="B30" t="s">
        <v>179</v>
      </c>
      <c r="C30" t="s">
        <v>172</v>
      </c>
      <c r="D30" t="s">
        <v>136</v>
      </c>
      <c r="E30" t="s">
        <v>180</v>
      </c>
    </row>
    <row r="31" spans="1:5" ht="15" customHeight="1" x14ac:dyDescent="0.3">
      <c r="A31" t="s">
        <v>181</v>
      </c>
      <c r="B31" t="s">
        <v>182</v>
      </c>
      <c r="C31" t="s">
        <v>172</v>
      </c>
      <c r="D31" t="s">
        <v>91</v>
      </c>
      <c r="E31" t="s">
        <v>180</v>
      </c>
    </row>
    <row r="32" spans="1:5" ht="15" customHeight="1" x14ac:dyDescent="0.3">
      <c r="A32" t="s">
        <v>183</v>
      </c>
      <c r="B32" t="s">
        <v>184</v>
      </c>
      <c r="C32" t="s">
        <v>172</v>
      </c>
      <c r="D32" t="s">
        <v>156</v>
      </c>
      <c r="E32" t="s">
        <v>185</v>
      </c>
    </row>
    <row r="33" spans="1:5" ht="15" customHeight="1" x14ac:dyDescent="0.3">
      <c r="A33" t="s">
        <v>186</v>
      </c>
      <c r="B33" t="s">
        <v>187</v>
      </c>
      <c r="C33" t="s">
        <v>188</v>
      </c>
      <c r="D33" t="s">
        <v>189</v>
      </c>
      <c r="E33" t="s">
        <v>188</v>
      </c>
    </row>
    <row r="34" spans="1:5" ht="15" customHeight="1" x14ac:dyDescent="0.3">
      <c r="A34" t="s">
        <v>190</v>
      </c>
      <c r="B34" t="s">
        <v>191</v>
      </c>
      <c r="C34" t="s">
        <v>188</v>
      </c>
      <c r="D34" t="s">
        <v>192</v>
      </c>
      <c r="E34" t="s">
        <v>188</v>
      </c>
    </row>
    <row r="35" spans="1:5" ht="15" customHeight="1" x14ac:dyDescent="0.3">
      <c r="A35" t="s">
        <v>193</v>
      </c>
      <c r="B35" t="s">
        <v>194</v>
      </c>
      <c r="C35" t="s">
        <v>188</v>
      </c>
      <c r="D35" t="s">
        <v>192</v>
      </c>
      <c r="E35" t="s">
        <v>188</v>
      </c>
    </row>
    <row r="36" spans="1:5" ht="15" customHeight="1" x14ac:dyDescent="0.3">
      <c r="A36" t="s">
        <v>195</v>
      </c>
      <c r="B36" t="s">
        <v>196</v>
      </c>
      <c r="C36" t="s">
        <v>188</v>
      </c>
      <c r="D36" t="s">
        <v>197</v>
      </c>
      <c r="E36" t="s">
        <v>188</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106"/>
  <sheetViews>
    <sheetView zoomScaleNormal="100" workbookViewId="0">
      <pane ySplit="1" topLeftCell="A21" activePane="bottomLeft" state="frozen"/>
      <selection pane="bottomLeft" activeCell="C1" sqref="C1"/>
    </sheetView>
  </sheetViews>
  <sheetFormatPr defaultColWidth="8.6640625" defaultRowHeight="14.4" x14ac:dyDescent="0.3"/>
  <cols>
    <col min="1" max="1" width="40" customWidth="1"/>
    <col min="2" max="3" width="13" customWidth="1"/>
    <col min="4" max="4" width="36" customWidth="1"/>
    <col min="5" max="5" width="10" customWidth="1"/>
    <col min="6" max="6" width="21" customWidth="1"/>
    <col min="7" max="7" width="16" customWidth="1"/>
    <col min="8" max="8" width="14" customWidth="1"/>
    <col min="9" max="9" width="12" customWidth="1"/>
    <col min="10" max="16" width="10" customWidth="1"/>
    <col min="17" max="18" width="14" customWidth="1"/>
    <col min="19" max="20" width="15" customWidth="1"/>
    <col min="21" max="21" width="16" customWidth="1"/>
    <col min="22" max="22" width="15" customWidth="1"/>
    <col min="23" max="23" width="12" customWidth="1"/>
  </cols>
  <sheetData>
    <row r="1" spans="1:23" ht="15" customHeight="1" x14ac:dyDescent="0.3">
      <c r="A1" s="9" t="s">
        <v>79</v>
      </c>
      <c r="B1" s="9" t="s">
        <v>80</v>
      </c>
      <c r="C1" s="9" t="s">
        <v>81</v>
      </c>
      <c r="D1" s="9" t="s">
        <v>82</v>
      </c>
      <c r="E1" s="9" t="s">
        <v>198</v>
      </c>
      <c r="F1" s="9" t="s">
        <v>199</v>
      </c>
      <c r="G1" s="9" t="s">
        <v>200</v>
      </c>
      <c r="H1" s="9" t="s">
        <v>201</v>
      </c>
      <c r="I1" s="9" t="s">
        <v>202</v>
      </c>
      <c r="J1" s="9" t="s">
        <v>203</v>
      </c>
      <c r="K1" s="9" t="s">
        <v>204</v>
      </c>
      <c r="L1" s="9" t="s">
        <v>205</v>
      </c>
      <c r="M1" s="9" t="s">
        <v>206</v>
      </c>
      <c r="N1" s="9" t="s">
        <v>207</v>
      </c>
      <c r="O1" s="9" t="s">
        <v>208</v>
      </c>
      <c r="P1" s="9" t="s">
        <v>209</v>
      </c>
      <c r="Q1" s="23"/>
      <c r="R1" s="23"/>
      <c r="S1" s="23"/>
      <c r="T1" s="23"/>
      <c r="U1" s="23"/>
      <c r="V1" s="23"/>
      <c r="W1" s="23"/>
    </row>
    <row r="2" spans="1:23" ht="15" customHeight="1" x14ac:dyDescent="0.3">
      <c r="A2" t="s">
        <v>186</v>
      </c>
      <c r="B2" t="s">
        <v>187</v>
      </c>
      <c r="C2" t="s">
        <v>188</v>
      </c>
      <c r="D2" t="s">
        <v>189</v>
      </c>
      <c r="E2">
        <v>2023</v>
      </c>
      <c r="F2">
        <v>279</v>
      </c>
      <c r="G2">
        <v>14</v>
      </c>
      <c r="H2">
        <v>5.0200000000000002E-2</v>
      </c>
      <c r="I2" t="s">
        <v>210</v>
      </c>
      <c r="J2">
        <v>2.2799999999999998</v>
      </c>
      <c r="K2">
        <v>0.4</v>
      </c>
      <c r="L2">
        <v>1.73</v>
      </c>
      <c r="M2">
        <v>1.5</v>
      </c>
      <c r="N2">
        <v>0.73</v>
      </c>
      <c r="O2">
        <v>1.24</v>
      </c>
      <c r="P2">
        <v>1.63</v>
      </c>
    </row>
    <row r="3" spans="1:23" ht="15" customHeight="1" x14ac:dyDescent="0.3">
      <c r="A3" t="s">
        <v>186</v>
      </c>
      <c r="B3" t="s">
        <v>187</v>
      </c>
      <c r="C3" t="s">
        <v>188</v>
      </c>
      <c r="D3" t="s">
        <v>189</v>
      </c>
      <c r="E3">
        <v>2024</v>
      </c>
      <c r="F3">
        <v>300</v>
      </c>
      <c r="G3">
        <v>15</v>
      </c>
      <c r="H3">
        <v>0.05</v>
      </c>
      <c r="I3" t="s">
        <v>210</v>
      </c>
      <c r="J3">
        <v>3.04</v>
      </c>
      <c r="K3">
        <v>0.88</v>
      </c>
      <c r="L3">
        <v>1.8</v>
      </c>
      <c r="M3">
        <v>1.84</v>
      </c>
      <c r="N3">
        <v>0.92</v>
      </c>
      <c r="O3">
        <v>0.89</v>
      </c>
      <c r="P3">
        <v>1.86</v>
      </c>
    </row>
    <row r="4" spans="1:23" ht="15" customHeight="1" x14ac:dyDescent="0.3">
      <c r="A4" t="s">
        <v>186</v>
      </c>
      <c r="B4" t="s">
        <v>187</v>
      </c>
      <c r="C4" t="s">
        <v>188</v>
      </c>
      <c r="D4" t="s">
        <v>189</v>
      </c>
      <c r="E4">
        <v>2025</v>
      </c>
      <c r="F4">
        <v>321</v>
      </c>
      <c r="G4">
        <v>16.100000000000001</v>
      </c>
      <c r="H4">
        <v>5.0200000000000002E-2</v>
      </c>
      <c r="I4" t="s">
        <v>210</v>
      </c>
      <c r="J4">
        <v>3.11</v>
      </c>
      <c r="K4">
        <v>1.08</v>
      </c>
      <c r="L4">
        <v>2.0499999999999998</v>
      </c>
      <c r="M4">
        <v>2.4500000000000002</v>
      </c>
      <c r="N4">
        <v>1.22</v>
      </c>
      <c r="O4">
        <v>1.6</v>
      </c>
      <c r="P4">
        <v>2.15</v>
      </c>
    </row>
    <row r="5" spans="1:23" ht="15" customHeight="1" x14ac:dyDescent="0.3">
      <c r="A5" t="s">
        <v>154</v>
      </c>
      <c r="B5" t="s">
        <v>155</v>
      </c>
      <c r="C5" t="s">
        <v>144</v>
      </c>
      <c r="D5" t="s">
        <v>156</v>
      </c>
      <c r="E5">
        <v>2023</v>
      </c>
      <c r="F5">
        <v>17856</v>
      </c>
      <c r="G5">
        <v>325.5</v>
      </c>
      <c r="H5">
        <v>1.8200000000000001E-2</v>
      </c>
      <c r="I5" t="s">
        <v>210</v>
      </c>
      <c r="J5">
        <v>1.53</v>
      </c>
      <c r="K5">
        <v>0.59</v>
      </c>
      <c r="L5">
        <v>2.78</v>
      </c>
      <c r="M5">
        <v>1.64</v>
      </c>
      <c r="N5">
        <v>3.57</v>
      </c>
      <c r="O5">
        <v>2.14</v>
      </c>
      <c r="P5">
        <v>3</v>
      </c>
    </row>
    <row r="6" spans="1:23" ht="15" customHeight="1" x14ac:dyDescent="0.3">
      <c r="A6" t="s">
        <v>154</v>
      </c>
      <c r="B6" t="s">
        <v>155</v>
      </c>
      <c r="C6" t="s">
        <v>144</v>
      </c>
      <c r="D6" t="s">
        <v>156</v>
      </c>
      <c r="E6">
        <v>2024</v>
      </c>
      <c r="F6">
        <v>19200</v>
      </c>
      <c r="G6">
        <v>350</v>
      </c>
      <c r="H6">
        <v>1.8200000000000001E-2</v>
      </c>
      <c r="I6" t="s">
        <v>210</v>
      </c>
      <c r="J6">
        <v>2.0499999999999998</v>
      </c>
      <c r="K6">
        <v>1.0900000000000001</v>
      </c>
      <c r="L6">
        <v>3.14</v>
      </c>
      <c r="M6">
        <v>2.02</v>
      </c>
      <c r="N6">
        <v>4</v>
      </c>
      <c r="O6">
        <v>1.85</v>
      </c>
      <c r="P6">
        <v>2.92</v>
      </c>
    </row>
    <row r="7" spans="1:23" ht="15" customHeight="1" x14ac:dyDescent="0.3">
      <c r="A7" t="s">
        <v>154</v>
      </c>
      <c r="B7" t="s">
        <v>155</v>
      </c>
      <c r="C7" t="s">
        <v>144</v>
      </c>
      <c r="D7" t="s">
        <v>156</v>
      </c>
      <c r="E7">
        <v>2025</v>
      </c>
      <c r="F7">
        <v>20544</v>
      </c>
      <c r="G7">
        <v>374.5</v>
      </c>
      <c r="H7">
        <v>1.8200000000000001E-2</v>
      </c>
      <c r="I7" t="s">
        <v>210</v>
      </c>
      <c r="J7">
        <v>1.92</v>
      </c>
      <c r="K7">
        <v>1.35</v>
      </c>
      <c r="L7">
        <v>3.09</v>
      </c>
      <c r="M7">
        <v>2.04</v>
      </c>
      <c r="N7">
        <v>4</v>
      </c>
      <c r="O7">
        <v>2.2999999999999998</v>
      </c>
      <c r="P7">
        <v>3.22</v>
      </c>
    </row>
    <row r="8" spans="1:23" ht="15" customHeight="1" x14ac:dyDescent="0.3">
      <c r="A8" t="s">
        <v>92</v>
      </c>
      <c r="B8" t="s">
        <v>93</v>
      </c>
      <c r="C8" t="s">
        <v>86</v>
      </c>
      <c r="D8" t="s">
        <v>91</v>
      </c>
      <c r="E8">
        <v>2023</v>
      </c>
      <c r="F8">
        <v>23980.1</v>
      </c>
      <c r="G8">
        <v>6047.8</v>
      </c>
      <c r="H8">
        <v>0.25219999999999998</v>
      </c>
      <c r="I8" t="s">
        <v>210</v>
      </c>
      <c r="J8">
        <v>3.38</v>
      </c>
      <c r="K8">
        <v>2.76</v>
      </c>
      <c r="L8">
        <v>2.93</v>
      </c>
      <c r="M8">
        <v>1.88</v>
      </c>
      <c r="N8">
        <v>2.61</v>
      </c>
      <c r="O8">
        <v>1.85</v>
      </c>
      <c r="P8">
        <v>3.01</v>
      </c>
    </row>
    <row r="9" spans="1:23" ht="15" customHeight="1" x14ac:dyDescent="0.3">
      <c r="A9" t="s">
        <v>92</v>
      </c>
      <c r="B9" t="s">
        <v>93</v>
      </c>
      <c r="C9" t="s">
        <v>86</v>
      </c>
      <c r="D9" t="s">
        <v>91</v>
      </c>
      <c r="E9">
        <v>2024</v>
      </c>
      <c r="F9">
        <v>25785</v>
      </c>
      <c r="G9">
        <v>6503</v>
      </c>
      <c r="H9">
        <v>0.25219999999999998</v>
      </c>
      <c r="I9" t="s">
        <v>211</v>
      </c>
      <c r="J9">
        <v>4</v>
      </c>
      <c r="K9">
        <v>2.74</v>
      </c>
      <c r="L9">
        <v>3.13</v>
      </c>
      <c r="M9">
        <v>2.04</v>
      </c>
      <c r="N9">
        <v>3.1</v>
      </c>
      <c r="O9">
        <v>1.9</v>
      </c>
      <c r="P9">
        <v>3.24</v>
      </c>
    </row>
    <row r="10" spans="1:23" ht="15" customHeight="1" x14ac:dyDescent="0.3">
      <c r="A10" t="s">
        <v>92</v>
      </c>
      <c r="B10" t="s">
        <v>93</v>
      </c>
      <c r="C10" t="s">
        <v>86</v>
      </c>
      <c r="D10" t="s">
        <v>91</v>
      </c>
      <c r="E10">
        <v>2025</v>
      </c>
      <c r="F10">
        <v>27590</v>
      </c>
      <c r="G10">
        <v>6958.2</v>
      </c>
      <c r="H10">
        <v>0.25219999999999998</v>
      </c>
      <c r="I10" t="s">
        <v>210</v>
      </c>
      <c r="J10">
        <v>4</v>
      </c>
      <c r="K10">
        <v>3.2</v>
      </c>
      <c r="L10">
        <v>3.34</v>
      </c>
      <c r="M10">
        <v>2.5</v>
      </c>
      <c r="N10">
        <v>3.1</v>
      </c>
      <c r="O10">
        <v>2.35</v>
      </c>
      <c r="P10">
        <v>3.43</v>
      </c>
    </row>
    <row r="11" spans="1:23" ht="15" customHeight="1" x14ac:dyDescent="0.3">
      <c r="A11" t="s">
        <v>118</v>
      </c>
      <c r="B11" t="s">
        <v>119</v>
      </c>
      <c r="C11" t="s">
        <v>86</v>
      </c>
      <c r="D11" t="s">
        <v>103</v>
      </c>
      <c r="E11">
        <v>2023</v>
      </c>
      <c r="F11">
        <v>8767.1</v>
      </c>
      <c r="G11">
        <v>1482.4</v>
      </c>
      <c r="H11">
        <v>0.1691</v>
      </c>
      <c r="I11" t="s">
        <v>210</v>
      </c>
      <c r="J11">
        <v>0.56999999999999995</v>
      </c>
      <c r="K11">
        <v>0.66</v>
      </c>
      <c r="L11">
        <v>2.84</v>
      </c>
      <c r="M11">
        <v>1.62</v>
      </c>
      <c r="N11">
        <v>1.67</v>
      </c>
      <c r="O11">
        <v>1.93</v>
      </c>
      <c r="P11">
        <v>2.77</v>
      </c>
    </row>
    <row r="12" spans="1:23" ht="15" customHeight="1" x14ac:dyDescent="0.3">
      <c r="A12" t="s">
        <v>118</v>
      </c>
      <c r="B12" t="s">
        <v>119</v>
      </c>
      <c r="C12" t="s">
        <v>86</v>
      </c>
      <c r="D12" t="s">
        <v>103</v>
      </c>
      <c r="E12">
        <v>2024</v>
      </c>
      <c r="F12">
        <v>9427</v>
      </c>
      <c r="G12">
        <v>1594</v>
      </c>
      <c r="H12">
        <v>0.1691</v>
      </c>
      <c r="I12" t="s">
        <v>211</v>
      </c>
      <c r="J12">
        <v>1.06</v>
      </c>
      <c r="K12">
        <v>0.89</v>
      </c>
      <c r="L12">
        <v>2.87</v>
      </c>
      <c r="M12">
        <v>1.98</v>
      </c>
      <c r="N12">
        <v>2.08</v>
      </c>
      <c r="O12">
        <v>1.96</v>
      </c>
      <c r="P12">
        <v>2.88</v>
      </c>
    </row>
    <row r="13" spans="1:23" ht="15" customHeight="1" x14ac:dyDescent="0.3">
      <c r="A13" t="s">
        <v>118</v>
      </c>
      <c r="B13" t="s">
        <v>119</v>
      </c>
      <c r="C13" t="s">
        <v>86</v>
      </c>
      <c r="D13" t="s">
        <v>103</v>
      </c>
      <c r="E13">
        <v>2025</v>
      </c>
      <c r="F13">
        <v>10086.9</v>
      </c>
      <c r="G13">
        <v>1705.6</v>
      </c>
      <c r="H13">
        <v>0.1691</v>
      </c>
      <c r="I13" t="s">
        <v>210</v>
      </c>
      <c r="J13">
        <v>1.34</v>
      </c>
      <c r="K13">
        <v>1.31</v>
      </c>
      <c r="L13">
        <v>3.03</v>
      </c>
      <c r="M13">
        <v>2.58</v>
      </c>
      <c r="N13">
        <v>2.31</v>
      </c>
      <c r="O13">
        <v>2.4300000000000002</v>
      </c>
      <c r="P13">
        <v>3.22</v>
      </c>
    </row>
    <row r="14" spans="1:23" ht="15" customHeight="1" x14ac:dyDescent="0.3">
      <c r="A14" t="s">
        <v>109</v>
      </c>
      <c r="B14" t="s">
        <v>110</v>
      </c>
      <c r="C14" t="s">
        <v>86</v>
      </c>
      <c r="D14" t="s">
        <v>111</v>
      </c>
      <c r="E14">
        <v>2023</v>
      </c>
      <c r="F14">
        <v>25273.7</v>
      </c>
      <c r="G14">
        <v>3076.4</v>
      </c>
      <c r="H14">
        <v>0.1217</v>
      </c>
      <c r="I14" t="s">
        <v>210</v>
      </c>
      <c r="J14">
        <v>1.6</v>
      </c>
      <c r="K14">
        <v>0.73</v>
      </c>
      <c r="L14">
        <v>2.93</v>
      </c>
      <c r="M14">
        <v>2.14</v>
      </c>
      <c r="N14">
        <v>3.4</v>
      </c>
      <c r="O14">
        <v>1.86</v>
      </c>
      <c r="P14">
        <v>2.9</v>
      </c>
    </row>
    <row r="15" spans="1:23" ht="15" customHeight="1" x14ac:dyDescent="0.3">
      <c r="A15" t="s">
        <v>109</v>
      </c>
      <c r="B15" t="s">
        <v>110</v>
      </c>
      <c r="C15" t="s">
        <v>86</v>
      </c>
      <c r="D15" t="s">
        <v>111</v>
      </c>
      <c r="E15">
        <v>2024</v>
      </c>
      <c r="F15">
        <v>27176</v>
      </c>
      <c r="G15">
        <v>3308</v>
      </c>
      <c r="H15">
        <v>0.1217</v>
      </c>
      <c r="I15" t="s">
        <v>211</v>
      </c>
      <c r="J15">
        <v>2.02</v>
      </c>
      <c r="K15">
        <v>1</v>
      </c>
      <c r="L15">
        <v>2.89</v>
      </c>
      <c r="M15">
        <v>1.96</v>
      </c>
      <c r="N15">
        <v>3.95</v>
      </c>
      <c r="O15">
        <v>1.85</v>
      </c>
      <c r="P15">
        <v>3.03</v>
      </c>
    </row>
    <row r="16" spans="1:23" ht="15" customHeight="1" x14ac:dyDescent="0.3">
      <c r="A16" t="s">
        <v>109</v>
      </c>
      <c r="B16" t="s">
        <v>110</v>
      </c>
      <c r="C16" t="s">
        <v>86</v>
      </c>
      <c r="D16" t="s">
        <v>111</v>
      </c>
      <c r="E16">
        <v>2025</v>
      </c>
      <c r="F16">
        <v>29078.3</v>
      </c>
      <c r="G16">
        <v>3539.6</v>
      </c>
      <c r="H16">
        <v>0.1217</v>
      </c>
      <c r="I16" t="s">
        <v>210</v>
      </c>
      <c r="J16">
        <v>2.15</v>
      </c>
      <c r="K16">
        <v>1.4</v>
      </c>
      <c r="L16">
        <v>3.28</v>
      </c>
      <c r="M16">
        <v>2.68</v>
      </c>
      <c r="N16">
        <v>3.89</v>
      </c>
      <c r="O16">
        <v>2.2999999999999998</v>
      </c>
      <c r="P16">
        <v>3.35</v>
      </c>
    </row>
    <row r="17" spans="1:16" ht="15" customHeight="1" x14ac:dyDescent="0.3">
      <c r="A17" t="s">
        <v>97</v>
      </c>
      <c r="B17" t="s">
        <v>98</v>
      </c>
      <c r="C17" t="s">
        <v>86</v>
      </c>
      <c r="D17" t="s">
        <v>99</v>
      </c>
      <c r="E17">
        <v>2023</v>
      </c>
      <c r="F17">
        <v>47963.8</v>
      </c>
      <c r="G17">
        <v>5371.7</v>
      </c>
      <c r="H17">
        <v>0.112</v>
      </c>
      <c r="I17" t="s">
        <v>210</v>
      </c>
      <c r="J17">
        <v>2.76</v>
      </c>
      <c r="K17">
        <v>0.16</v>
      </c>
      <c r="L17">
        <v>2.86</v>
      </c>
      <c r="M17">
        <v>1.79</v>
      </c>
      <c r="N17">
        <v>2.06</v>
      </c>
      <c r="O17">
        <v>0.7</v>
      </c>
      <c r="P17">
        <v>1.68</v>
      </c>
    </row>
    <row r="18" spans="1:16" ht="15" customHeight="1" x14ac:dyDescent="0.3">
      <c r="A18" t="s">
        <v>97</v>
      </c>
      <c r="B18" t="s">
        <v>98</v>
      </c>
      <c r="C18" t="s">
        <v>86</v>
      </c>
      <c r="D18" t="s">
        <v>99</v>
      </c>
      <c r="E18">
        <v>2024</v>
      </c>
      <c r="F18">
        <v>51574</v>
      </c>
      <c r="G18">
        <v>5776</v>
      </c>
      <c r="H18">
        <v>0.112</v>
      </c>
      <c r="I18" t="s">
        <v>211</v>
      </c>
      <c r="J18">
        <v>2.89</v>
      </c>
      <c r="K18">
        <v>0.94</v>
      </c>
      <c r="L18">
        <v>3.07</v>
      </c>
      <c r="M18">
        <v>2.13</v>
      </c>
      <c r="N18">
        <v>2.11</v>
      </c>
      <c r="O18">
        <v>0.92</v>
      </c>
      <c r="P18">
        <v>1.88</v>
      </c>
    </row>
    <row r="19" spans="1:16" ht="15" customHeight="1" x14ac:dyDescent="0.3">
      <c r="A19" t="s">
        <v>97</v>
      </c>
      <c r="B19" t="s">
        <v>98</v>
      </c>
      <c r="C19" t="s">
        <v>86</v>
      </c>
      <c r="D19" t="s">
        <v>99</v>
      </c>
      <c r="E19">
        <v>2025</v>
      </c>
      <c r="F19">
        <v>55184.2</v>
      </c>
      <c r="G19">
        <v>6180.3</v>
      </c>
      <c r="H19">
        <v>0.112</v>
      </c>
      <c r="I19" t="s">
        <v>210</v>
      </c>
      <c r="J19">
        <v>3.5</v>
      </c>
      <c r="K19">
        <v>1.22</v>
      </c>
      <c r="L19">
        <v>3.29</v>
      </c>
      <c r="M19">
        <v>2.33</v>
      </c>
      <c r="N19">
        <v>2.4</v>
      </c>
      <c r="O19">
        <v>1.23</v>
      </c>
      <c r="P19">
        <v>2.44</v>
      </c>
    </row>
    <row r="20" spans="1:16" ht="15" customHeight="1" x14ac:dyDescent="0.3">
      <c r="A20" t="s">
        <v>178</v>
      </c>
      <c r="B20" t="s">
        <v>179</v>
      </c>
      <c r="C20" t="s">
        <v>172</v>
      </c>
      <c r="D20" t="s">
        <v>136</v>
      </c>
      <c r="E20">
        <v>2023</v>
      </c>
      <c r="F20">
        <v>837</v>
      </c>
      <c r="G20">
        <v>37.200000000000003</v>
      </c>
      <c r="H20">
        <v>4.4400000000000002E-2</v>
      </c>
      <c r="I20" t="s">
        <v>210</v>
      </c>
      <c r="J20">
        <v>0.73</v>
      </c>
      <c r="K20">
        <v>0.54</v>
      </c>
      <c r="L20">
        <v>1.57</v>
      </c>
      <c r="M20">
        <v>0.68</v>
      </c>
      <c r="N20">
        <v>1.03</v>
      </c>
      <c r="O20">
        <v>0.83</v>
      </c>
      <c r="P20">
        <v>1.04</v>
      </c>
    </row>
    <row r="21" spans="1:16" ht="15" customHeight="1" x14ac:dyDescent="0.3">
      <c r="A21" t="s">
        <v>178</v>
      </c>
      <c r="B21" t="s">
        <v>179</v>
      </c>
      <c r="C21" t="s">
        <v>172</v>
      </c>
      <c r="D21" t="s">
        <v>136</v>
      </c>
      <c r="E21">
        <v>2024</v>
      </c>
      <c r="F21">
        <v>900</v>
      </c>
      <c r="G21">
        <v>40</v>
      </c>
      <c r="H21">
        <v>4.4400000000000002E-2</v>
      </c>
      <c r="I21" t="s">
        <v>210</v>
      </c>
      <c r="J21">
        <v>1.1100000000000001</v>
      </c>
      <c r="K21">
        <v>0.98</v>
      </c>
      <c r="L21">
        <v>1.74</v>
      </c>
      <c r="M21">
        <v>0.98</v>
      </c>
      <c r="N21">
        <v>1.1299999999999999</v>
      </c>
      <c r="O21">
        <v>1.32</v>
      </c>
      <c r="P21">
        <v>0.93</v>
      </c>
    </row>
    <row r="22" spans="1:16" ht="15" customHeight="1" x14ac:dyDescent="0.3">
      <c r="A22" t="s">
        <v>178</v>
      </c>
      <c r="B22" t="s">
        <v>179</v>
      </c>
      <c r="C22" t="s">
        <v>172</v>
      </c>
      <c r="D22" t="s">
        <v>136</v>
      </c>
      <c r="E22">
        <v>2025</v>
      </c>
      <c r="F22">
        <v>963</v>
      </c>
      <c r="G22">
        <v>42.8</v>
      </c>
      <c r="H22">
        <v>4.4400000000000002E-2</v>
      </c>
      <c r="I22" t="s">
        <v>210</v>
      </c>
      <c r="J22">
        <v>1.61</v>
      </c>
      <c r="K22">
        <v>1.1399999999999999</v>
      </c>
      <c r="L22">
        <v>1.62</v>
      </c>
      <c r="M22">
        <v>1.46</v>
      </c>
      <c r="N22">
        <v>1.22</v>
      </c>
      <c r="O22">
        <v>1.35</v>
      </c>
      <c r="P22">
        <v>1.4</v>
      </c>
    </row>
    <row r="23" spans="1:16" ht="15" customHeight="1" x14ac:dyDescent="0.3">
      <c r="A23" t="s">
        <v>193</v>
      </c>
      <c r="B23" t="s">
        <v>194</v>
      </c>
      <c r="C23" t="s">
        <v>188</v>
      </c>
      <c r="D23" t="s">
        <v>192</v>
      </c>
      <c r="E23">
        <v>2023</v>
      </c>
      <c r="F23">
        <v>651</v>
      </c>
      <c r="G23">
        <v>9.3000000000000007</v>
      </c>
      <c r="H23">
        <v>1.43E-2</v>
      </c>
      <c r="I23" t="s">
        <v>210</v>
      </c>
      <c r="J23">
        <v>0.66</v>
      </c>
      <c r="K23">
        <v>0.56999999999999995</v>
      </c>
      <c r="L23">
        <v>1</v>
      </c>
      <c r="M23">
        <v>0.65</v>
      </c>
      <c r="N23">
        <v>1.03</v>
      </c>
      <c r="O23">
        <v>2.65</v>
      </c>
      <c r="P23">
        <v>2.4500000000000002</v>
      </c>
    </row>
    <row r="24" spans="1:16" ht="15" customHeight="1" x14ac:dyDescent="0.3">
      <c r="A24" t="s">
        <v>193</v>
      </c>
      <c r="B24" t="s">
        <v>194</v>
      </c>
      <c r="C24" t="s">
        <v>188</v>
      </c>
      <c r="D24" t="s">
        <v>192</v>
      </c>
      <c r="E24">
        <v>2024</v>
      </c>
      <c r="F24">
        <v>700</v>
      </c>
      <c r="G24">
        <v>10</v>
      </c>
      <c r="H24">
        <v>1.43E-2</v>
      </c>
      <c r="I24" t="s">
        <v>210</v>
      </c>
      <c r="J24">
        <v>0.92</v>
      </c>
      <c r="K24">
        <v>1</v>
      </c>
      <c r="L24">
        <v>0.82</v>
      </c>
      <c r="M24">
        <v>0.96</v>
      </c>
      <c r="N24">
        <v>1.1299999999999999</v>
      </c>
      <c r="O24">
        <v>3.06</v>
      </c>
      <c r="P24">
        <v>3.08</v>
      </c>
    </row>
    <row r="25" spans="1:16" ht="15" customHeight="1" x14ac:dyDescent="0.3">
      <c r="A25" t="s">
        <v>193</v>
      </c>
      <c r="B25" t="s">
        <v>194</v>
      </c>
      <c r="C25" t="s">
        <v>188</v>
      </c>
      <c r="D25" t="s">
        <v>192</v>
      </c>
      <c r="E25">
        <v>2025</v>
      </c>
      <c r="F25">
        <v>749</v>
      </c>
      <c r="G25">
        <v>10.7</v>
      </c>
      <c r="H25">
        <v>1.43E-2</v>
      </c>
      <c r="I25" t="s">
        <v>210</v>
      </c>
      <c r="J25">
        <v>1.39</v>
      </c>
      <c r="K25">
        <v>1.17</v>
      </c>
      <c r="L25">
        <v>1.51</v>
      </c>
      <c r="M25">
        <v>1.02</v>
      </c>
      <c r="N25">
        <v>1.45</v>
      </c>
      <c r="O25">
        <v>3.12</v>
      </c>
      <c r="P25">
        <v>2.84</v>
      </c>
    </row>
    <row r="26" spans="1:16" ht="15" customHeight="1" x14ac:dyDescent="0.3">
      <c r="A26" t="s">
        <v>134</v>
      </c>
      <c r="B26" t="s">
        <v>135</v>
      </c>
      <c r="C26" t="s">
        <v>86</v>
      </c>
      <c r="D26" t="s">
        <v>136</v>
      </c>
      <c r="E26">
        <v>2023</v>
      </c>
      <c r="F26">
        <v>6281.2</v>
      </c>
      <c r="G26">
        <v>267.8</v>
      </c>
      <c r="H26">
        <v>4.2599999999999999E-2</v>
      </c>
      <c r="I26" t="s">
        <v>210</v>
      </c>
      <c r="J26">
        <v>1.35</v>
      </c>
      <c r="K26">
        <v>0.85</v>
      </c>
      <c r="L26">
        <v>2.02</v>
      </c>
      <c r="M26">
        <v>1.67</v>
      </c>
      <c r="N26">
        <v>1.79</v>
      </c>
      <c r="O26">
        <v>3.83</v>
      </c>
      <c r="P26">
        <v>3.62</v>
      </c>
    </row>
    <row r="27" spans="1:16" ht="15" customHeight="1" x14ac:dyDescent="0.3">
      <c r="A27" t="s">
        <v>134</v>
      </c>
      <c r="B27" t="s">
        <v>135</v>
      </c>
      <c r="C27" t="s">
        <v>86</v>
      </c>
      <c r="D27" t="s">
        <v>136</v>
      </c>
      <c r="E27">
        <v>2024</v>
      </c>
      <c r="F27">
        <v>6754</v>
      </c>
      <c r="G27">
        <v>288</v>
      </c>
      <c r="H27">
        <v>4.2599999999999999E-2</v>
      </c>
      <c r="I27" t="s">
        <v>211</v>
      </c>
      <c r="J27">
        <v>1.88</v>
      </c>
      <c r="K27">
        <v>1.17</v>
      </c>
      <c r="L27">
        <v>2.0099999999999998</v>
      </c>
      <c r="M27">
        <v>2.15</v>
      </c>
      <c r="N27">
        <v>2.0499999999999998</v>
      </c>
      <c r="O27">
        <v>3.74</v>
      </c>
      <c r="P27">
        <v>4</v>
      </c>
    </row>
    <row r="28" spans="1:16" ht="15" customHeight="1" x14ac:dyDescent="0.3">
      <c r="A28" t="s">
        <v>134</v>
      </c>
      <c r="B28" t="s">
        <v>135</v>
      </c>
      <c r="C28" t="s">
        <v>86</v>
      </c>
      <c r="D28" t="s">
        <v>136</v>
      </c>
      <c r="E28">
        <v>2025</v>
      </c>
      <c r="F28">
        <v>7226.8</v>
      </c>
      <c r="G28">
        <v>308.2</v>
      </c>
      <c r="H28">
        <v>4.2599999999999999E-2</v>
      </c>
      <c r="I28" t="s">
        <v>210</v>
      </c>
      <c r="J28">
        <v>2.23</v>
      </c>
      <c r="K28">
        <v>1.38</v>
      </c>
      <c r="L28">
        <v>2.44</v>
      </c>
      <c r="M28">
        <v>2.2799999999999998</v>
      </c>
      <c r="N28">
        <v>2.19</v>
      </c>
      <c r="O28">
        <v>4</v>
      </c>
      <c r="P28">
        <v>4</v>
      </c>
    </row>
    <row r="29" spans="1:16" ht="15" customHeight="1" x14ac:dyDescent="0.3">
      <c r="A29" t="s">
        <v>183</v>
      </c>
      <c r="B29" t="s">
        <v>184</v>
      </c>
      <c r="C29" t="s">
        <v>172</v>
      </c>
      <c r="D29" t="s">
        <v>156</v>
      </c>
      <c r="E29">
        <v>2023</v>
      </c>
      <c r="F29">
        <v>558</v>
      </c>
      <c r="G29">
        <v>18.600000000000001</v>
      </c>
      <c r="H29">
        <v>3.3300000000000003E-2</v>
      </c>
      <c r="I29" t="s">
        <v>210</v>
      </c>
      <c r="J29">
        <v>0.12</v>
      </c>
      <c r="K29">
        <v>0.51</v>
      </c>
      <c r="L29">
        <v>2.61</v>
      </c>
      <c r="M29">
        <v>0.9</v>
      </c>
      <c r="N29">
        <v>0.65</v>
      </c>
      <c r="O29">
        <v>1.74</v>
      </c>
      <c r="P29">
        <v>0.56999999999999995</v>
      </c>
    </row>
    <row r="30" spans="1:16" ht="15" customHeight="1" x14ac:dyDescent="0.3">
      <c r="A30" t="s">
        <v>183</v>
      </c>
      <c r="B30" t="s">
        <v>184</v>
      </c>
      <c r="C30" t="s">
        <v>172</v>
      </c>
      <c r="D30" t="s">
        <v>156</v>
      </c>
      <c r="E30">
        <v>2024</v>
      </c>
      <c r="F30">
        <v>600</v>
      </c>
      <c r="G30">
        <v>20</v>
      </c>
      <c r="H30">
        <v>3.3300000000000003E-2</v>
      </c>
      <c r="I30" t="s">
        <v>210</v>
      </c>
      <c r="J30">
        <v>1.1299999999999999</v>
      </c>
      <c r="K30">
        <v>1.03</v>
      </c>
      <c r="L30">
        <v>3.06</v>
      </c>
      <c r="M30">
        <v>0.91</v>
      </c>
      <c r="N30">
        <v>1.03</v>
      </c>
      <c r="O30">
        <v>2.15</v>
      </c>
      <c r="P30">
        <v>1.1499999999999999</v>
      </c>
    </row>
    <row r="31" spans="1:16" ht="15" customHeight="1" x14ac:dyDescent="0.3">
      <c r="A31" t="s">
        <v>183</v>
      </c>
      <c r="B31" t="s">
        <v>184</v>
      </c>
      <c r="C31" t="s">
        <v>172</v>
      </c>
      <c r="D31" t="s">
        <v>156</v>
      </c>
      <c r="E31">
        <v>2025</v>
      </c>
      <c r="F31">
        <v>642</v>
      </c>
      <c r="G31">
        <v>21.4</v>
      </c>
      <c r="H31">
        <v>3.3300000000000003E-2</v>
      </c>
      <c r="I31" t="s">
        <v>210</v>
      </c>
      <c r="J31">
        <v>0.93</v>
      </c>
      <c r="K31">
        <v>1.1499999999999999</v>
      </c>
      <c r="L31">
        <v>2.93</v>
      </c>
      <c r="M31">
        <v>1.63</v>
      </c>
      <c r="N31">
        <v>1.0900000000000001</v>
      </c>
      <c r="O31">
        <v>2.02</v>
      </c>
      <c r="P31">
        <v>1.05</v>
      </c>
    </row>
    <row r="32" spans="1:16" ht="15" customHeight="1" x14ac:dyDescent="0.3">
      <c r="A32" t="s">
        <v>158</v>
      </c>
      <c r="B32" t="s">
        <v>159</v>
      </c>
      <c r="C32" t="s">
        <v>144</v>
      </c>
      <c r="D32" t="s">
        <v>160</v>
      </c>
      <c r="E32">
        <v>2023</v>
      </c>
      <c r="F32">
        <v>837</v>
      </c>
      <c r="G32">
        <v>83.7</v>
      </c>
      <c r="H32">
        <v>0.1</v>
      </c>
      <c r="I32" t="s">
        <v>210</v>
      </c>
      <c r="J32">
        <v>2.44</v>
      </c>
      <c r="K32">
        <v>0.84</v>
      </c>
      <c r="L32">
        <v>0.63</v>
      </c>
      <c r="M32">
        <v>0.98</v>
      </c>
      <c r="N32">
        <v>1.87</v>
      </c>
      <c r="O32">
        <v>2.92</v>
      </c>
      <c r="P32">
        <v>1.42</v>
      </c>
    </row>
    <row r="33" spans="1:16" ht="15" customHeight="1" x14ac:dyDescent="0.3">
      <c r="A33" t="s">
        <v>158</v>
      </c>
      <c r="B33" t="s">
        <v>159</v>
      </c>
      <c r="C33" t="s">
        <v>144</v>
      </c>
      <c r="D33" t="s">
        <v>160</v>
      </c>
      <c r="E33">
        <v>2024</v>
      </c>
      <c r="F33">
        <v>900</v>
      </c>
      <c r="G33">
        <v>90</v>
      </c>
      <c r="H33">
        <v>0.1</v>
      </c>
      <c r="I33" t="s">
        <v>210</v>
      </c>
      <c r="J33">
        <v>3.01</v>
      </c>
      <c r="K33">
        <v>0.85</v>
      </c>
      <c r="L33">
        <v>0.95</v>
      </c>
      <c r="M33">
        <v>1.1000000000000001</v>
      </c>
      <c r="N33">
        <v>2.0499999999999998</v>
      </c>
      <c r="O33">
        <v>2.99</v>
      </c>
      <c r="P33">
        <v>1.89</v>
      </c>
    </row>
    <row r="34" spans="1:16" ht="15" customHeight="1" x14ac:dyDescent="0.3">
      <c r="A34" t="s">
        <v>158</v>
      </c>
      <c r="B34" t="s">
        <v>159</v>
      </c>
      <c r="C34" t="s">
        <v>144</v>
      </c>
      <c r="D34" t="s">
        <v>160</v>
      </c>
      <c r="E34">
        <v>2025</v>
      </c>
      <c r="F34">
        <v>963</v>
      </c>
      <c r="G34">
        <v>96.3</v>
      </c>
      <c r="H34">
        <v>0.1</v>
      </c>
      <c r="I34" t="s">
        <v>210</v>
      </c>
      <c r="J34">
        <v>3.32</v>
      </c>
      <c r="K34">
        <v>1.49</v>
      </c>
      <c r="L34">
        <v>1.25</v>
      </c>
      <c r="M34">
        <v>1.61</v>
      </c>
      <c r="N34">
        <v>2.37</v>
      </c>
      <c r="O34">
        <v>3.25</v>
      </c>
      <c r="P34">
        <v>1.92</v>
      </c>
    </row>
    <row r="35" spans="1:16" ht="15" customHeight="1" x14ac:dyDescent="0.3">
      <c r="A35" t="s">
        <v>84</v>
      </c>
      <c r="B35" t="s">
        <v>85</v>
      </c>
      <c r="C35" t="s">
        <v>86</v>
      </c>
      <c r="D35" t="s">
        <v>87</v>
      </c>
      <c r="E35">
        <v>2023</v>
      </c>
      <c r="F35">
        <v>49383</v>
      </c>
      <c r="G35">
        <v>15387.8</v>
      </c>
      <c r="H35">
        <v>0.31159999999999999</v>
      </c>
      <c r="I35" t="s">
        <v>210</v>
      </c>
      <c r="J35">
        <v>2.59</v>
      </c>
      <c r="K35">
        <v>2.96</v>
      </c>
      <c r="L35">
        <v>3.98</v>
      </c>
      <c r="M35">
        <v>2.59</v>
      </c>
      <c r="N35">
        <v>2.58</v>
      </c>
      <c r="O35">
        <v>4</v>
      </c>
      <c r="P35">
        <v>2.98</v>
      </c>
    </row>
    <row r="36" spans="1:16" ht="15" customHeight="1" x14ac:dyDescent="0.3">
      <c r="A36" t="s">
        <v>84</v>
      </c>
      <c r="B36" t="s">
        <v>85</v>
      </c>
      <c r="C36" t="s">
        <v>86</v>
      </c>
      <c r="D36" t="s">
        <v>87</v>
      </c>
      <c r="E36">
        <v>2024</v>
      </c>
      <c r="F36">
        <v>53100</v>
      </c>
      <c r="G36">
        <v>16546</v>
      </c>
      <c r="H36">
        <v>0.31159999999999999</v>
      </c>
      <c r="I36" t="s">
        <v>211</v>
      </c>
      <c r="J36">
        <v>3.01</v>
      </c>
      <c r="K36">
        <v>3.08</v>
      </c>
      <c r="L36">
        <v>3.99</v>
      </c>
      <c r="M36">
        <v>2.82</v>
      </c>
      <c r="N36">
        <v>3.05</v>
      </c>
      <c r="O36">
        <v>4</v>
      </c>
      <c r="P36">
        <v>3</v>
      </c>
    </row>
    <row r="37" spans="1:16" ht="15" customHeight="1" x14ac:dyDescent="0.3">
      <c r="A37" t="s">
        <v>84</v>
      </c>
      <c r="B37" t="s">
        <v>85</v>
      </c>
      <c r="C37" t="s">
        <v>86</v>
      </c>
      <c r="D37" t="s">
        <v>87</v>
      </c>
      <c r="E37">
        <v>2025</v>
      </c>
      <c r="F37">
        <v>56817</v>
      </c>
      <c r="G37">
        <v>17704.2</v>
      </c>
      <c r="H37">
        <v>0.31159999999999999</v>
      </c>
      <c r="I37" t="s">
        <v>210</v>
      </c>
      <c r="J37">
        <v>3.35</v>
      </c>
      <c r="K37">
        <v>3.65</v>
      </c>
      <c r="L37">
        <v>4</v>
      </c>
      <c r="M37">
        <v>3.37</v>
      </c>
      <c r="N37">
        <v>2.85</v>
      </c>
      <c r="O37">
        <v>4</v>
      </c>
      <c r="P37">
        <v>3.23</v>
      </c>
    </row>
    <row r="38" spans="1:16" ht="15" customHeight="1" x14ac:dyDescent="0.3">
      <c r="A38" t="s">
        <v>115</v>
      </c>
      <c r="B38" t="s">
        <v>116</v>
      </c>
      <c r="C38" t="s">
        <v>86</v>
      </c>
      <c r="D38" t="s">
        <v>111</v>
      </c>
      <c r="E38">
        <v>2023</v>
      </c>
      <c r="F38">
        <v>10353.700000000001</v>
      </c>
      <c r="G38">
        <v>1340.1</v>
      </c>
      <c r="H38">
        <v>0.12939999999999999</v>
      </c>
      <c r="I38" t="s">
        <v>210</v>
      </c>
      <c r="J38">
        <v>1.85</v>
      </c>
      <c r="K38">
        <v>0.62</v>
      </c>
      <c r="L38">
        <v>2.96</v>
      </c>
      <c r="M38">
        <v>1.4</v>
      </c>
      <c r="N38">
        <v>4</v>
      </c>
      <c r="O38">
        <v>1.36</v>
      </c>
      <c r="P38">
        <v>2.88</v>
      </c>
    </row>
    <row r="39" spans="1:16" ht="15" customHeight="1" x14ac:dyDescent="0.3">
      <c r="A39" t="s">
        <v>115</v>
      </c>
      <c r="B39" t="s">
        <v>116</v>
      </c>
      <c r="C39" t="s">
        <v>86</v>
      </c>
      <c r="D39" t="s">
        <v>111</v>
      </c>
      <c r="E39">
        <v>2024</v>
      </c>
      <c r="F39">
        <v>11133</v>
      </c>
      <c r="G39">
        <v>1441</v>
      </c>
      <c r="H39">
        <v>0.12939999999999999</v>
      </c>
      <c r="I39" t="s">
        <v>211</v>
      </c>
      <c r="J39">
        <v>1.94</v>
      </c>
      <c r="K39">
        <v>0.84</v>
      </c>
      <c r="L39">
        <v>3.04</v>
      </c>
      <c r="M39">
        <v>1.99</v>
      </c>
      <c r="N39">
        <v>4</v>
      </c>
      <c r="O39">
        <v>2.09</v>
      </c>
      <c r="P39">
        <v>3.03</v>
      </c>
    </row>
    <row r="40" spans="1:16" ht="15" customHeight="1" x14ac:dyDescent="0.3">
      <c r="A40" t="s">
        <v>115</v>
      </c>
      <c r="B40" t="s">
        <v>116</v>
      </c>
      <c r="C40" t="s">
        <v>86</v>
      </c>
      <c r="D40" t="s">
        <v>111</v>
      </c>
      <c r="E40">
        <v>2025</v>
      </c>
      <c r="F40">
        <v>11912.3</v>
      </c>
      <c r="G40">
        <v>1541.9</v>
      </c>
      <c r="H40">
        <v>0.12939999999999999</v>
      </c>
      <c r="I40" t="s">
        <v>210</v>
      </c>
      <c r="J40">
        <v>2.16</v>
      </c>
      <c r="K40">
        <v>1.47</v>
      </c>
      <c r="L40">
        <v>3.1</v>
      </c>
      <c r="M40">
        <v>2.44</v>
      </c>
      <c r="N40">
        <v>4</v>
      </c>
      <c r="O40">
        <v>1.69</v>
      </c>
      <c r="P40">
        <v>3.07</v>
      </c>
    </row>
    <row r="41" spans="1:16" ht="15" customHeight="1" x14ac:dyDescent="0.3">
      <c r="A41" t="s">
        <v>181</v>
      </c>
      <c r="B41" t="s">
        <v>182</v>
      </c>
      <c r="C41" t="s">
        <v>172</v>
      </c>
      <c r="D41" t="s">
        <v>91</v>
      </c>
      <c r="E41">
        <v>2023</v>
      </c>
      <c r="F41">
        <v>1116</v>
      </c>
      <c r="G41">
        <v>74.400000000000006</v>
      </c>
      <c r="H41">
        <v>6.6699999999999995E-2</v>
      </c>
      <c r="I41" t="s">
        <v>210</v>
      </c>
      <c r="J41">
        <v>0.61</v>
      </c>
      <c r="K41">
        <v>0.77</v>
      </c>
      <c r="L41">
        <v>1.77</v>
      </c>
      <c r="M41">
        <v>0.71</v>
      </c>
      <c r="N41">
        <v>1.1000000000000001</v>
      </c>
      <c r="O41">
        <v>0.94</v>
      </c>
      <c r="P41">
        <v>0.55000000000000004</v>
      </c>
    </row>
    <row r="42" spans="1:16" ht="15" customHeight="1" x14ac:dyDescent="0.3">
      <c r="A42" t="s">
        <v>181</v>
      </c>
      <c r="B42" t="s">
        <v>182</v>
      </c>
      <c r="C42" t="s">
        <v>172</v>
      </c>
      <c r="D42" t="s">
        <v>91</v>
      </c>
      <c r="E42">
        <v>2024</v>
      </c>
      <c r="F42">
        <v>1200</v>
      </c>
      <c r="G42">
        <v>80</v>
      </c>
      <c r="H42">
        <v>6.6699999999999995E-2</v>
      </c>
      <c r="I42" t="s">
        <v>210</v>
      </c>
      <c r="J42">
        <v>1.07</v>
      </c>
      <c r="K42">
        <v>2.17</v>
      </c>
      <c r="L42">
        <v>3.21</v>
      </c>
      <c r="M42">
        <v>1.03</v>
      </c>
      <c r="N42">
        <v>0.86</v>
      </c>
      <c r="O42">
        <v>1.05</v>
      </c>
      <c r="P42">
        <v>0.96</v>
      </c>
    </row>
    <row r="43" spans="1:16" ht="15" customHeight="1" x14ac:dyDescent="0.3">
      <c r="A43" t="s">
        <v>181</v>
      </c>
      <c r="B43" t="s">
        <v>182</v>
      </c>
      <c r="C43" t="s">
        <v>172</v>
      </c>
      <c r="D43" t="s">
        <v>91</v>
      </c>
      <c r="E43">
        <v>2025</v>
      </c>
      <c r="F43">
        <v>1284</v>
      </c>
      <c r="G43">
        <v>85.6</v>
      </c>
      <c r="H43">
        <v>6.6699999999999995E-2</v>
      </c>
      <c r="I43" t="s">
        <v>210</v>
      </c>
      <c r="J43">
        <v>1.52</v>
      </c>
      <c r="K43">
        <v>2.31</v>
      </c>
      <c r="L43">
        <v>3.19</v>
      </c>
      <c r="M43">
        <v>1.18</v>
      </c>
      <c r="N43">
        <v>1.65</v>
      </c>
      <c r="O43">
        <v>1.27</v>
      </c>
      <c r="P43">
        <v>0.98</v>
      </c>
    </row>
    <row r="44" spans="1:16" ht="15" customHeight="1" x14ac:dyDescent="0.3">
      <c r="A44" t="s">
        <v>112</v>
      </c>
      <c r="B44" t="s">
        <v>113</v>
      </c>
      <c r="C44" t="s">
        <v>86</v>
      </c>
      <c r="D44" t="s">
        <v>111</v>
      </c>
      <c r="E44">
        <v>2023</v>
      </c>
      <c r="F44">
        <v>13869.1</v>
      </c>
      <c r="G44">
        <v>1833</v>
      </c>
      <c r="H44">
        <v>0.13220000000000001</v>
      </c>
      <c r="I44" t="s">
        <v>210</v>
      </c>
      <c r="J44">
        <v>1.61</v>
      </c>
      <c r="K44">
        <v>0.43</v>
      </c>
      <c r="L44">
        <v>2.88</v>
      </c>
      <c r="M44">
        <v>1.8</v>
      </c>
      <c r="N44">
        <v>3.63</v>
      </c>
      <c r="O44">
        <v>1.94</v>
      </c>
      <c r="P44">
        <v>2.65</v>
      </c>
    </row>
    <row r="45" spans="1:16" ht="15" customHeight="1" x14ac:dyDescent="0.3">
      <c r="A45" t="s">
        <v>112</v>
      </c>
      <c r="B45" t="s">
        <v>113</v>
      </c>
      <c r="C45" t="s">
        <v>86</v>
      </c>
      <c r="D45" t="s">
        <v>111</v>
      </c>
      <c r="E45">
        <v>2024</v>
      </c>
      <c r="F45">
        <v>14913</v>
      </c>
      <c r="G45">
        <v>1971</v>
      </c>
      <c r="H45">
        <v>0.13220000000000001</v>
      </c>
      <c r="I45" t="s">
        <v>211</v>
      </c>
      <c r="J45">
        <v>2.06</v>
      </c>
      <c r="K45">
        <v>0.8</v>
      </c>
      <c r="L45">
        <v>2.94</v>
      </c>
      <c r="M45">
        <v>2.17</v>
      </c>
      <c r="N45">
        <v>3.93</v>
      </c>
      <c r="O45">
        <v>2.08</v>
      </c>
      <c r="P45">
        <v>2.72</v>
      </c>
    </row>
    <row r="46" spans="1:16" ht="15" customHeight="1" x14ac:dyDescent="0.3">
      <c r="A46" t="s">
        <v>112</v>
      </c>
      <c r="B46" t="s">
        <v>113</v>
      </c>
      <c r="C46" t="s">
        <v>86</v>
      </c>
      <c r="D46" t="s">
        <v>111</v>
      </c>
      <c r="E46">
        <v>2025</v>
      </c>
      <c r="F46">
        <v>15956.9</v>
      </c>
      <c r="G46">
        <v>2109</v>
      </c>
      <c r="H46">
        <v>0.13220000000000001</v>
      </c>
      <c r="I46" t="s">
        <v>210</v>
      </c>
      <c r="J46">
        <v>2.19</v>
      </c>
      <c r="K46">
        <v>1.1200000000000001</v>
      </c>
      <c r="L46">
        <v>3.1</v>
      </c>
      <c r="M46">
        <v>2.4300000000000002</v>
      </c>
      <c r="N46">
        <v>4</v>
      </c>
      <c r="O46">
        <v>2.38</v>
      </c>
      <c r="P46">
        <v>3.01</v>
      </c>
    </row>
    <row r="47" spans="1:16" ht="15" customHeight="1" x14ac:dyDescent="0.3">
      <c r="A47" t="s">
        <v>131</v>
      </c>
      <c r="B47" t="s">
        <v>132</v>
      </c>
      <c r="C47" t="s">
        <v>86</v>
      </c>
      <c r="D47" t="s">
        <v>91</v>
      </c>
      <c r="E47">
        <v>2023</v>
      </c>
      <c r="F47">
        <v>5121.5</v>
      </c>
      <c r="G47">
        <v>1766.1</v>
      </c>
      <c r="H47">
        <v>0.3448</v>
      </c>
      <c r="I47" t="s">
        <v>210</v>
      </c>
      <c r="J47">
        <v>3.7</v>
      </c>
      <c r="K47">
        <v>0.35</v>
      </c>
      <c r="L47">
        <v>1.98</v>
      </c>
      <c r="M47">
        <v>1.56</v>
      </c>
      <c r="N47">
        <v>1.84</v>
      </c>
      <c r="O47">
        <v>0.96</v>
      </c>
      <c r="P47">
        <v>2.94</v>
      </c>
    </row>
    <row r="48" spans="1:16" ht="15" customHeight="1" x14ac:dyDescent="0.3">
      <c r="A48" t="s">
        <v>131</v>
      </c>
      <c r="B48" t="s">
        <v>132</v>
      </c>
      <c r="C48" t="s">
        <v>86</v>
      </c>
      <c r="D48" t="s">
        <v>91</v>
      </c>
      <c r="E48">
        <v>2024</v>
      </c>
      <c r="F48">
        <v>5507</v>
      </c>
      <c r="G48">
        <v>1899</v>
      </c>
      <c r="H48">
        <v>0.3448</v>
      </c>
      <c r="I48" t="s">
        <v>211</v>
      </c>
      <c r="J48">
        <v>3.78</v>
      </c>
      <c r="K48">
        <v>1.1399999999999999</v>
      </c>
      <c r="L48">
        <v>1.98</v>
      </c>
      <c r="M48">
        <v>2.02</v>
      </c>
      <c r="N48">
        <v>1.99</v>
      </c>
      <c r="O48">
        <v>0.78</v>
      </c>
      <c r="P48">
        <v>2.92</v>
      </c>
    </row>
    <row r="49" spans="1:16" ht="15" customHeight="1" x14ac:dyDescent="0.3">
      <c r="A49" t="s">
        <v>131</v>
      </c>
      <c r="B49" t="s">
        <v>132</v>
      </c>
      <c r="C49" t="s">
        <v>86</v>
      </c>
      <c r="D49" t="s">
        <v>91</v>
      </c>
      <c r="E49">
        <v>2025</v>
      </c>
      <c r="F49">
        <v>5892.5</v>
      </c>
      <c r="G49">
        <v>2031.9</v>
      </c>
      <c r="H49">
        <v>0.3448</v>
      </c>
      <c r="I49" t="s">
        <v>210</v>
      </c>
      <c r="J49">
        <v>4</v>
      </c>
      <c r="K49">
        <v>1.1299999999999999</v>
      </c>
      <c r="L49">
        <v>2.23</v>
      </c>
      <c r="M49">
        <v>2.4</v>
      </c>
      <c r="N49">
        <v>2.4</v>
      </c>
      <c r="O49">
        <v>1.59</v>
      </c>
      <c r="P49">
        <v>3.27</v>
      </c>
    </row>
    <row r="50" spans="1:16" ht="15" customHeight="1" x14ac:dyDescent="0.3">
      <c r="A50" t="s">
        <v>148</v>
      </c>
      <c r="B50" t="s">
        <v>149</v>
      </c>
      <c r="C50" t="s">
        <v>144</v>
      </c>
      <c r="D50" t="s">
        <v>91</v>
      </c>
      <c r="E50">
        <v>2023</v>
      </c>
      <c r="F50">
        <v>13578</v>
      </c>
      <c r="G50">
        <v>2697</v>
      </c>
      <c r="H50">
        <v>0.1986</v>
      </c>
      <c r="I50" t="s">
        <v>210</v>
      </c>
      <c r="J50">
        <v>3.67</v>
      </c>
      <c r="K50">
        <v>1.65</v>
      </c>
      <c r="L50">
        <v>2.85</v>
      </c>
      <c r="M50">
        <v>1.79</v>
      </c>
      <c r="N50">
        <v>1.49</v>
      </c>
      <c r="O50">
        <v>1.66</v>
      </c>
      <c r="P50">
        <v>1.9</v>
      </c>
    </row>
    <row r="51" spans="1:16" ht="15" customHeight="1" x14ac:dyDescent="0.3">
      <c r="A51" t="s">
        <v>148</v>
      </c>
      <c r="B51" t="s">
        <v>149</v>
      </c>
      <c r="C51" t="s">
        <v>144</v>
      </c>
      <c r="D51" t="s">
        <v>91</v>
      </c>
      <c r="E51">
        <v>2024</v>
      </c>
      <c r="F51">
        <v>14600</v>
      </c>
      <c r="G51">
        <v>2900</v>
      </c>
      <c r="H51">
        <v>0.1986</v>
      </c>
      <c r="I51" t="s">
        <v>211</v>
      </c>
      <c r="J51">
        <v>4</v>
      </c>
      <c r="K51">
        <v>2.06</v>
      </c>
      <c r="L51">
        <v>2.66</v>
      </c>
      <c r="M51">
        <v>1.83</v>
      </c>
      <c r="N51">
        <v>1.97</v>
      </c>
      <c r="O51">
        <v>2.11</v>
      </c>
      <c r="P51">
        <v>1.99</v>
      </c>
    </row>
    <row r="52" spans="1:16" ht="15" customHeight="1" x14ac:dyDescent="0.3">
      <c r="A52" t="s">
        <v>148</v>
      </c>
      <c r="B52" t="s">
        <v>149</v>
      </c>
      <c r="C52" t="s">
        <v>144</v>
      </c>
      <c r="D52" t="s">
        <v>91</v>
      </c>
      <c r="E52">
        <v>2025</v>
      </c>
      <c r="F52">
        <v>15622</v>
      </c>
      <c r="G52">
        <v>3103</v>
      </c>
      <c r="H52">
        <v>0.1986</v>
      </c>
      <c r="I52" t="s">
        <v>210</v>
      </c>
      <c r="J52">
        <v>4</v>
      </c>
      <c r="K52">
        <v>2.52</v>
      </c>
      <c r="L52">
        <v>3.21</v>
      </c>
      <c r="M52">
        <v>2.62</v>
      </c>
      <c r="N52">
        <v>2.48</v>
      </c>
      <c r="O52">
        <v>2.04</v>
      </c>
      <c r="P52">
        <v>2.56</v>
      </c>
    </row>
    <row r="53" spans="1:16" ht="15" customHeight="1" x14ac:dyDescent="0.3">
      <c r="A53" t="s">
        <v>121</v>
      </c>
      <c r="B53" t="s">
        <v>122</v>
      </c>
      <c r="C53" t="s">
        <v>86</v>
      </c>
      <c r="D53" t="s">
        <v>87</v>
      </c>
      <c r="E53">
        <v>2023</v>
      </c>
      <c r="F53">
        <v>4096.7</v>
      </c>
      <c r="G53">
        <v>730.1</v>
      </c>
      <c r="H53">
        <v>0.1782</v>
      </c>
      <c r="I53" t="s">
        <v>210</v>
      </c>
      <c r="J53">
        <v>0.35</v>
      </c>
      <c r="K53">
        <v>0.67</v>
      </c>
      <c r="L53">
        <v>2.85</v>
      </c>
      <c r="M53">
        <v>1.34</v>
      </c>
      <c r="N53">
        <v>2</v>
      </c>
      <c r="O53">
        <v>2.15</v>
      </c>
      <c r="P53">
        <v>1.51</v>
      </c>
    </row>
    <row r="54" spans="1:16" ht="15" customHeight="1" x14ac:dyDescent="0.3">
      <c r="A54" t="s">
        <v>121</v>
      </c>
      <c r="B54" t="s">
        <v>122</v>
      </c>
      <c r="C54" t="s">
        <v>86</v>
      </c>
      <c r="D54" t="s">
        <v>87</v>
      </c>
      <c r="E54">
        <v>2024</v>
      </c>
      <c r="F54">
        <v>4405</v>
      </c>
      <c r="G54">
        <v>785</v>
      </c>
      <c r="H54">
        <v>0.1782</v>
      </c>
      <c r="I54" t="s">
        <v>211</v>
      </c>
      <c r="J54">
        <v>1.08</v>
      </c>
      <c r="K54">
        <v>0.97</v>
      </c>
      <c r="L54">
        <v>2.7</v>
      </c>
      <c r="M54">
        <v>1.92</v>
      </c>
      <c r="N54">
        <v>2.11</v>
      </c>
      <c r="O54">
        <v>1.9</v>
      </c>
      <c r="P54">
        <v>1.86</v>
      </c>
    </row>
    <row r="55" spans="1:16" ht="15" customHeight="1" x14ac:dyDescent="0.3">
      <c r="A55" t="s">
        <v>121</v>
      </c>
      <c r="B55" t="s">
        <v>122</v>
      </c>
      <c r="C55" t="s">
        <v>86</v>
      </c>
      <c r="D55" t="s">
        <v>87</v>
      </c>
      <c r="E55">
        <v>2025</v>
      </c>
      <c r="F55">
        <v>4713.3999999999996</v>
      </c>
      <c r="G55">
        <v>840</v>
      </c>
      <c r="H55">
        <v>0.1782</v>
      </c>
      <c r="I55" t="s">
        <v>210</v>
      </c>
      <c r="J55">
        <v>1.2</v>
      </c>
      <c r="K55">
        <v>1.41</v>
      </c>
      <c r="L55">
        <v>3.04</v>
      </c>
      <c r="M55">
        <v>1.9</v>
      </c>
      <c r="N55">
        <v>2.67</v>
      </c>
      <c r="O55">
        <v>2.57</v>
      </c>
      <c r="P55">
        <v>1.99</v>
      </c>
    </row>
    <row r="56" spans="1:16" ht="15" customHeight="1" x14ac:dyDescent="0.3">
      <c r="A56" t="s">
        <v>105</v>
      </c>
      <c r="B56" t="s">
        <v>106</v>
      </c>
      <c r="C56" t="s">
        <v>86</v>
      </c>
      <c r="D56" t="s">
        <v>107</v>
      </c>
      <c r="E56">
        <v>2023</v>
      </c>
      <c r="F56">
        <v>23353.200000000001</v>
      </c>
      <c r="G56">
        <v>3039.2</v>
      </c>
      <c r="H56">
        <v>0.13009999999999999</v>
      </c>
      <c r="I56" t="s">
        <v>210</v>
      </c>
      <c r="J56">
        <v>2.2000000000000002</v>
      </c>
      <c r="K56">
        <v>1.91</v>
      </c>
      <c r="L56">
        <v>2.57</v>
      </c>
      <c r="M56">
        <v>2.74</v>
      </c>
      <c r="N56">
        <v>3.3</v>
      </c>
      <c r="O56">
        <v>3.19</v>
      </c>
      <c r="P56">
        <v>2.4300000000000002</v>
      </c>
    </row>
    <row r="57" spans="1:16" ht="15" customHeight="1" x14ac:dyDescent="0.3">
      <c r="A57" t="s">
        <v>105</v>
      </c>
      <c r="B57" t="s">
        <v>106</v>
      </c>
      <c r="C57" t="s">
        <v>86</v>
      </c>
      <c r="D57" t="s">
        <v>107</v>
      </c>
      <c r="E57">
        <v>2024</v>
      </c>
      <c r="F57">
        <v>25111</v>
      </c>
      <c r="G57">
        <v>3268</v>
      </c>
      <c r="H57">
        <v>0.13009999999999999</v>
      </c>
      <c r="I57" t="s">
        <v>211</v>
      </c>
      <c r="J57">
        <v>2.99</v>
      </c>
      <c r="K57">
        <v>2.27</v>
      </c>
      <c r="L57">
        <v>3</v>
      </c>
      <c r="M57">
        <v>3.02</v>
      </c>
      <c r="N57">
        <v>2.87</v>
      </c>
      <c r="O57">
        <v>3.11</v>
      </c>
      <c r="P57">
        <v>3.1</v>
      </c>
    </row>
    <row r="58" spans="1:16" ht="15" customHeight="1" x14ac:dyDescent="0.3">
      <c r="A58" t="s">
        <v>105</v>
      </c>
      <c r="B58" t="s">
        <v>106</v>
      </c>
      <c r="C58" t="s">
        <v>86</v>
      </c>
      <c r="D58" t="s">
        <v>107</v>
      </c>
      <c r="E58">
        <v>2025</v>
      </c>
      <c r="F58">
        <v>26868.799999999999</v>
      </c>
      <c r="G58">
        <v>3496.8</v>
      </c>
      <c r="H58">
        <v>0.13009999999999999</v>
      </c>
      <c r="I58" t="s">
        <v>210</v>
      </c>
      <c r="J58">
        <v>3.28</v>
      </c>
      <c r="K58">
        <v>2.5499999999999998</v>
      </c>
      <c r="L58">
        <v>2.85</v>
      </c>
      <c r="M58">
        <v>3.48</v>
      </c>
      <c r="N58">
        <v>3.4</v>
      </c>
      <c r="O58">
        <v>3.2</v>
      </c>
      <c r="P58">
        <v>3.04</v>
      </c>
    </row>
    <row r="59" spans="1:16" ht="15" customHeight="1" x14ac:dyDescent="0.3">
      <c r="A59" t="s">
        <v>89</v>
      </c>
      <c r="B59" t="s">
        <v>90</v>
      </c>
      <c r="C59" t="s">
        <v>86</v>
      </c>
      <c r="D59" t="s">
        <v>91</v>
      </c>
      <c r="E59">
        <v>2023</v>
      </c>
      <c r="F59">
        <v>56657.5</v>
      </c>
      <c r="G59">
        <v>8067.8</v>
      </c>
      <c r="H59">
        <v>0.1424</v>
      </c>
      <c r="I59" t="s">
        <v>210</v>
      </c>
      <c r="J59">
        <v>3.73</v>
      </c>
      <c r="K59">
        <v>2.65</v>
      </c>
      <c r="L59">
        <v>2.73</v>
      </c>
      <c r="M59">
        <v>2.54</v>
      </c>
      <c r="N59">
        <v>2.86</v>
      </c>
      <c r="O59">
        <v>2.99</v>
      </c>
      <c r="P59">
        <v>2.54</v>
      </c>
    </row>
    <row r="60" spans="1:16" ht="15" customHeight="1" x14ac:dyDescent="0.3">
      <c r="A60" t="s">
        <v>89</v>
      </c>
      <c r="B60" t="s">
        <v>90</v>
      </c>
      <c r="C60" t="s">
        <v>86</v>
      </c>
      <c r="D60" t="s">
        <v>91</v>
      </c>
      <c r="E60">
        <v>2024</v>
      </c>
      <c r="F60">
        <v>60922</v>
      </c>
      <c r="G60">
        <v>8675</v>
      </c>
      <c r="H60">
        <v>0.1424</v>
      </c>
      <c r="I60" t="s">
        <v>211</v>
      </c>
      <c r="J60">
        <v>3.91</v>
      </c>
      <c r="K60">
        <v>2.97</v>
      </c>
      <c r="L60">
        <v>2.95</v>
      </c>
      <c r="M60">
        <v>3.2</v>
      </c>
      <c r="N60">
        <v>3.09</v>
      </c>
      <c r="O60">
        <v>2.8</v>
      </c>
      <c r="P60">
        <v>3.16</v>
      </c>
    </row>
    <row r="61" spans="1:16" ht="15" customHeight="1" x14ac:dyDescent="0.3">
      <c r="A61" t="s">
        <v>89</v>
      </c>
      <c r="B61" t="s">
        <v>90</v>
      </c>
      <c r="C61" t="s">
        <v>86</v>
      </c>
      <c r="D61" t="s">
        <v>91</v>
      </c>
      <c r="E61">
        <v>2025</v>
      </c>
      <c r="F61">
        <v>65186.5</v>
      </c>
      <c r="G61">
        <v>9282.2000000000007</v>
      </c>
      <c r="H61">
        <v>0.1424</v>
      </c>
      <c r="I61" t="s">
        <v>210</v>
      </c>
      <c r="J61">
        <v>4</v>
      </c>
      <c r="K61">
        <v>3.16</v>
      </c>
      <c r="L61">
        <v>2.88</v>
      </c>
      <c r="M61">
        <v>3.15</v>
      </c>
      <c r="N61">
        <v>3.13</v>
      </c>
      <c r="O61">
        <v>3.25</v>
      </c>
      <c r="P61">
        <v>3.06</v>
      </c>
    </row>
    <row r="62" spans="1:16" ht="15" customHeight="1" x14ac:dyDescent="0.3">
      <c r="A62" t="s">
        <v>166</v>
      </c>
      <c r="B62" t="s">
        <v>167</v>
      </c>
      <c r="C62" t="s">
        <v>144</v>
      </c>
      <c r="D62" t="s">
        <v>168</v>
      </c>
      <c r="E62">
        <v>2023</v>
      </c>
      <c r="F62">
        <v>837</v>
      </c>
      <c r="G62">
        <v>139.5</v>
      </c>
      <c r="H62">
        <v>0.16669999999999999</v>
      </c>
      <c r="I62" t="s">
        <v>210</v>
      </c>
      <c r="J62">
        <v>0.35</v>
      </c>
      <c r="K62">
        <v>0.63</v>
      </c>
      <c r="L62">
        <v>0.54</v>
      </c>
      <c r="M62">
        <v>0.69</v>
      </c>
      <c r="N62">
        <v>1.04</v>
      </c>
      <c r="O62">
        <v>0.49</v>
      </c>
      <c r="P62">
        <v>0.77</v>
      </c>
    </row>
    <row r="63" spans="1:16" ht="15" customHeight="1" x14ac:dyDescent="0.3">
      <c r="A63" t="s">
        <v>166</v>
      </c>
      <c r="B63" t="s">
        <v>167</v>
      </c>
      <c r="C63" t="s">
        <v>144</v>
      </c>
      <c r="D63" t="s">
        <v>168</v>
      </c>
      <c r="E63">
        <v>2024</v>
      </c>
      <c r="F63">
        <v>900</v>
      </c>
      <c r="G63">
        <v>150</v>
      </c>
      <c r="H63">
        <v>0.16669999999999999</v>
      </c>
      <c r="I63" t="s">
        <v>210</v>
      </c>
      <c r="J63">
        <v>1.08</v>
      </c>
      <c r="K63">
        <v>1.1100000000000001</v>
      </c>
      <c r="L63">
        <v>0.99</v>
      </c>
      <c r="M63">
        <v>1.04</v>
      </c>
      <c r="N63">
        <v>1.1100000000000001</v>
      </c>
      <c r="O63">
        <v>0.92</v>
      </c>
      <c r="P63">
        <v>0.96</v>
      </c>
    </row>
    <row r="64" spans="1:16" ht="15" customHeight="1" x14ac:dyDescent="0.3">
      <c r="A64" t="s">
        <v>166</v>
      </c>
      <c r="B64" t="s">
        <v>167</v>
      </c>
      <c r="C64" t="s">
        <v>144</v>
      </c>
      <c r="D64" t="s">
        <v>168</v>
      </c>
      <c r="E64">
        <v>2025</v>
      </c>
      <c r="F64">
        <v>963</v>
      </c>
      <c r="G64">
        <v>160.5</v>
      </c>
      <c r="H64">
        <v>0.16669999999999999</v>
      </c>
      <c r="I64" t="s">
        <v>210</v>
      </c>
      <c r="J64">
        <v>1.1399999999999999</v>
      </c>
      <c r="K64">
        <v>1.28</v>
      </c>
      <c r="L64">
        <v>0.96</v>
      </c>
      <c r="M64">
        <v>1.54</v>
      </c>
      <c r="N64">
        <v>1.44</v>
      </c>
      <c r="O64">
        <v>0.86</v>
      </c>
      <c r="P64">
        <v>1.04</v>
      </c>
    </row>
    <row r="65" spans="1:16" ht="15" customHeight="1" x14ac:dyDescent="0.3">
      <c r="A65" t="s">
        <v>150</v>
      </c>
      <c r="B65" t="s">
        <v>151</v>
      </c>
      <c r="C65" t="s">
        <v>144</v>
      </c>
      <c r="D65" t="s">
        <v>91</v>
      </c>
      <c r="E65">
        <v>2023</v>
      </c>
      <c r="F65">
        <v>1767</v>
      </c>
      <c r="G65">
        <v>186</v>
      </c>
      <c r="H65">
        <v>0.1053</v>
      </c>
      <c r="I65" t="s">
        <v>210</v>
      </c>
      <c r="J65">
        <v>0.49</v>
      </c>
      <c r="K65">
        <v>0.97</v>
      </c>
      <c r="L65">
        <v>1.85</v>
      </c>
      <c r="M65">
        <v>0.98</v>
      </c>
      <c r="N65">
        <v>2.08</v>
      </c>
      <c r="O65">
        <v>0.79</v>
      </c>
      <c r="P65">
        <v>2.1</v>
      </c>
    </row>
    <row r="66" spans="1:16" ht="15" customHeight="1" x14ac:dyDescent="0.3">
      <c r="A66" t="s">
        <v>150</v>
      </c>
      <c r="B66" t="s">
        <v>151</v>
      </c>
      <c r="C66" t="s">
        <v>144</v>
      </c>
      <c r="D66" t="s">
        <v>91</v>
      </c>
      <c r="E66">
        <v>2024</v>
      </c>
      <c r="F66">
        <v>1900</v>
      </c>
      <c r="G66">
        <v>200</v>
      </c>
      <c r="H66">
        <v>0.1053</v>
      </c>
      <c r="I66" t="s">
        <v>210</v>
      </c>
      <c r="J66">
        <v>1.04</v>
      </c>
      <c r="K66">
        <v>1.2</v>
      </c>
      <c r="L66">
        <v>2.04</v>
      </c>
      <c r="M66">
        <v>1.0900000000000001</v>
      </c>
      <c r="N66">
        <v>1.9</v>
      </c>
      <c r="O66">
        <v>0.94</v>
      </c>
      <c r="P66">
        <v>2.06</v>
      </c>
    </row>
    <row r="67" spans="1:16" ht="15" customHeight="1" x14ac:dyDescent="0.3">
      <c r="A67" t="s">
        <v>150</v>
      </c>
      <c r="B67" t="s">
        <v>151</v>
      </c>
      <c r="C67" t="s">
        <v>144</v>
      </c>
      <c r="D67" t="s">
        <v>91</v>
      </c>
      <c r="E67">
        <v>2025</v>
      </c>
      <c r="F67">
        <v>2033</v>
      </c>
      <c r="G67">
        <v>214</v>
      </c>
      <c r="H67">
        <v>0.1053</v>
      </c>
      <c r="I67" t="s">
        <v>210</v>
      </c>
      <c r="J67">
        <v>1.34</v>
      </c>
      <c r="K67">
        <v>1.57</v>
      </c>
      <c r="L67">
        <v>2.19</v>
      </c>
      <c r="M67">
        <v>1.8</v>
      </c>
      <c r="N67">
        <v>2.29</v>
      </c>
      <c r="O67">
        <v>1.1100000000000001</v>
      </c>
      <c r="P67">
        <v>2.38</v>
      </c>
    </row>
    <row r="68" spans="1:16" ht="15" customHeight="1" x14ac:dyDescent="0.3">
      <c r="A68" t="s">
        <v>162</v>
      </c>
      <c r="B68" t="s">
        <v>163</v>
      </c>
      <c r="C68" t="s">
        <v>144</v>
      </c>
      <c r="D68" t="s">
        <v>164</v>
      </c>
      <c r="E68">
        <v>2023</v>
      </c>
      <c r="F68">
        <v>2325</v>
      </c>
      <c r="G68">
        <v>186</v>
      </c>
      <c r="H68">
        <v>0.08</v>
      </c>
      <c r="I68" t="s">
        <v>210</v>
      </c>
      <c r="J68">
        <v>2.58</v>
      </c>
      <c r="K68">
        <v>1.26</v>
      </c>
      <c r="L68">
        <v>4</v>
      </c>
      <c r="M68">
        <v>1.65</v>
      </c>
      <c r="N68">
        <v>1.63</v>
      </c>
      <c r="O68">
        <v>0.81</v>
      </c>
      <c r="P68">
        <v>1.62</v>
      </c>
    </row>
    <row r="69" spans="1:16" ht="15" customHeight="1" x14ac:dyDescent="0.3">
      <c r="A69" t="s">
        <v>162</v>
      </c>
      <c r="B69" t="s">
        <v>163</v>
      </c>
      <c r="C69" t="s">
        <v>144</v>
      </c>
      <c r="D69" t="s">
        <v>164</v>
      </c>
      <c r="E69">
        <v>2024</v>
      </c>
      <c r="F69">
        <v>2500</v>
      </c>
      <c r="G69">
        <v>200</v>
      </c>
      <c r="H69">
        <v>0.08</v>
      </c>
      <c r="I69" t="s">
        <v>210</v>
      </c>
      <c r="J69">
        <v>2.81</v>
      </c>
      <c r="K69">
        <v>0.86</v>
      </c>
      <c r="L69">
        <v>3.78</v>
      </c>
      <c r="M69">
        <v>1.9</v>
      </c>
      <c r="N69">
        <v>2.1</v>
      </c>
      <c r="O69">
        <v>0.76</v>
      </c>
      <c r="P69">
        <v>2.1800000000000002</v>
      </c>
    </row>
    <row r="70" spans="1:16" ht="15" customHeight="1" x14ac:dyDescent="0.3">
      <c r="A70" t="s">
        <v>162</v>
      </c>
      <c r="B70" t="s">
        <v>163</v>
      </c>
      <c r="C70" t="s">
        <v>144</v>
      </c>
      <c r="D70" t="s">
        <v>164</v>
      </c>
      <c r="E70">
        <v>2025</v>
      </c>
      <c r="F70">
        <v>2675</v>
      </c>
      <c r="G70">
        <v>214</v>
      </c>
      <c r="H70">
        <v>0.08</v>
      </c>
      <c r="I70" t="s">
        <v>210</v>
      </c>
      <c r="J70">
        <v>3.35</v>
      </c>
      <c r="K70">
        <v>1.74</v>
      </c>
      <c r="L70">
        <v>4</v>
      </c>
      <c r="M70">
        <v>2.65</v>
      </c>
      <c r="N70">
        <v>2</v>
      </c>
      <c r="O70">
        <v>0.85</v>
      </c>
      <c r="P70">
        <v>1.83</v>
      </c>
    </row>
    <row r="71" spans="1:16" ht="15" customHeight="1" x14ac:dyDescent="0.3">
      <c r="A71" t="s">
        <v>94</v>
      </c>
      <c r="B71" t="s">
        <v>95</v>
      </c>
      <c r="C71" t="s">
        <v>86</v>
      </c>
      <c r="D71" t="s">
        <v>91</v>
      </c>
      <c r="E71">
        <v>2023</v>
      </c>
      <c r="F71">
        <v>36234.699999999997</v>
      </c>
      <c r="G71">
        <v>8270.5</v>
      </c>
      <c r="H71">
        <v>0.22819999999999999</v>
      </c>
      <c r="I71" t="s">
        <v>210</v>
      </c>
      <c r="J71">
        <v>2.38</v>
      </c>
      <c r="K71">
        <v>2.81</v>
      </c>
      <c r="L71">
        <v>2.82</v>
      </c>
      <c r="M71">
        <v>1.48</v>
      </c>
      <c r="N71">
        <v>2.85</v>
      </c>
      <c r="O71">
        <v>1.79</v>
      </c>
      <c r="P71">
        <v>2.89</v>
      </c>
    </row>
    <row r="72" spans="1:16" ht="15" customHeight="1" x14ac:dyDescent="0.3">
      <c r="A72" t="s">
        <v>94</v>
      </c>
      <c r="B72" t="s">
        <v>95</v>
      </c>
      <c r="C72" t="s">
        <v>86</v>
      </c>
      <c r="D72" t="s">
        <v>91</v>
      </c>
      <c r="E72">
        <v>2024</v>
      </c>
      <c r="F72">
        <v>38962</v>
      </c>
      <c r="G72">
        <v>8893</v>
      </c>
      <c r="H72">
        <v>0.22819999999999999</v>
      </c>
      <c r="I72" t="s">
        <v>211</v>
      </c>
      <c r="J72">
        <v>3.09</v>
      </c>
      <c r="K72">
        <v>3</v>
      </c>
      <c r="L72">
        <v>2.87</v>
      </c>
      <c r="M72">
        <v>2.0499999999999998</v>
      </c>
      <c r="N72">
        <v>3.1</v>
      </c>
      <c r="O72">
        <v>2.13</v>
      </c>
      <c r="P72">
        <v>3.04</v>
      </c>
    </row>
    <row r="73" spans="1:16" ht="15" customHeight="1" x14ac:dyDescent="0.3">
      <c r="A73" t="s">
        <v>94</v>
      </c>
      <c r="B73" t="s">
        <v>95</v>
      </c>
      <c r="C73" t="s">
        <v>86</v>
      </c>
      <c r="D73" t="s">
        <v>91</v>
      </c>
      <c r="E73">
        <v>2025</v>
      </c>
      <c r="F73">
        <v>41689.300000000003</v>
      </c>
      <c r="G73">
        <v>9515.5</v>
      </c>
      <c r="H73">
        <v>0.22819999999999999</v>
      </c>
      <c r="I73" t="s">
        <v>210</v>
      </c>
      <c r="J73">
        <v>3.14</v>
      </c>
      <c r="K73">
        <v>3.63</v>
      </c>
      <c r="L73">
        <v>3.39</v>
      </c>
      <c r="M73">
        <v>1.87</v>
      </c>
      <c r="N73">
        <v>3.53</v>
      </c>
      <c r="O73">
        <v>2.29</v>
      </c>
      <c r="P73">
        <v>3.74</v>
      </c>
    </row>
    <row r="74" spans="1:16" ht="15" customHeight="1" x14ac:dyDescent="0.3">
      <c r="A74" t="s">
        <v>152</v>
      </c>
      <c r="B74" t="s">
        <v>153</v>
      </c>
      <c r="C74" t="s">
        <v>144</v>
      </c>
      <c r="D74" t="s">
        <v>91</v>
      </c>
      <c r="E74">
        <v>2023</v>
      </c>
      <c r="F74">
        <v>4278</v>
      </c>
      <c r="G74">
        <v>465</v>
      </c>
      <c r="H74">
        <v>0.1087</v>
      </c>
      <c r="I74" t="s">
        <v>210</v>
      </c>
      <c r="J74">
        <v>1.74</v>
      </c>
      <c r="K74">
        <v>0.54</v>
      </c>
      <c r="L74">
        <v>2.0099999999999998</v>
      </c>
      <c r="M74">
        <v>1.79</v>
      </c>
      <c r="N74">
        <v>1.88</v>
      </c>
      <c r="O74">
        <v>0.97</v>
      </c>
      <c r="P74">
        <v>1.98</v>
      </c>
    </row>
    <row r="75" spans="1:16" ht="15" customHeight="1" x14ac:dyDescent="0.3">
      <c r="A75" t="s">
        <v>152</v>
      </c>
      <c r="B75" t="s">
        <v>153</v>
      </c>
      <c r="C75" t="s">
        <v>144</v>
      </c>
      <c r="D75" t="s">
        <v>91</v>
      </c>
      <c r="E75">
        <v>2024</v>
      </c>
      <c r="F75">
        <v>4600</v>
      </c>
      <c r="G75">
        <v>500</v>
      </c>
      <c r="H75">
        <v>0.1087</v>
      </c>
      <c r="I75" t="s">
        <v>210</v>
      </c>
      <c r="J75">
        <v>2.25</v>
      </c>
      <c r="K75">
        <v>1.06</v>
      </c>
      <c r="L75">
        <v>2.16</v>
      </c>
      <c r="M75">
        <v>1.99</v>
      </c>
      <c r="N75">
        <v>2.06</v>
      </c>
      <c r="O75">
        <v>1.06</v>
      </c>
      <c r="P75">
        <v>1.81</v>
      </c>
    </row>
    <row r="76" spans="1:16" ht="15" customHeight="1" x14ac:dyDescent="0.3">
      <c r="A76" t="s">
        <v>152</v>
      </c>
      <c r="B76" t="s">
        <v>153</v>
      </c>
      <c r="C76" t="s">
        <v>144</v>
      </c>
      <c r="D76" t="s">
        <v>91</v>
      </c>
      <c r="E76">
        <v>2025</v>
      </c>
      <c r="F76">
        <v>4922</v>
      </c>
      <c r="G76">
        <v>535</v>
      </c>
      <c r="H76">
        <v>0.1087</v>
      </c>
      <c r="I76" t="s">
        <v>210</v>
      </c>
      <c r="J76">
        <v>2.27</v>
      </c>
      <c r="K76">
        <v>1.38</v>
      </c>
      <c r="L76">
        <v>2.1800000000000002</v>
      </c>
      <c r="M76">
        <v>2.27</v>
      </c>
      <c r="N76">
        <v>2.36</v>
      </c>
      <c r="O76">
        <v>1.2</v>
      </c>
      <c r="P76">
        <v>2.08</v>
      </c>
    </row>
    <row r="77" spans="1:16" ht="15" customHeight="1" x14ac:dyDescent="0.3">
      <c r="A77" t="s">
        <v>175</v>
      </c>
      <c r="B77" t="s">
        <v>176</v>
      </c>
      <c r="C77" t="s">
        <v>172</v>
      </c>
      <c r="D77" t="s">
        <v>107</v>
      </c>
      <c r="E77">
        <v>2023</v>
      </c>
      <c r="F77">
        <v>48360</v>
      </c>
      <c r="G77">
        <v>3906</v>
      </c>
      <c r="H77">
        <v>8.0799999999999997E-2</v>
      </c>
      <c r="I77" t="s">
        <v>210</v>
      </c>
      <c r="J77">
        <v>3.84</v>
      </c>
      <c r="K77">
        <v>1.57</v>
      </c>
      <c r="L77">
        <v>2.91</v>
      </c>
      <c r="M77">
        <v>2.64</v>
      </c>
      <c r="N77">
        <v>2.83</v>
      </c>
      <c r="O77">
        <v>1.86</v>
      </c>
      <c r="P77">
        <v>2.6</v>
      </c>
    </row>
    <row r="78" spans="1:16" ht="15" customHeight="1" x14ac:dyDescent="0.3">
      <c r="A78" t="s">
        <v>175</v>
      </c>
      <c r="B78" t="s">
        <v>176</v>
      </c>
      <c r="C78" t="s">
        <v>172</v>
      </c>
      <c r="D78" t="s">
        <v>107</v>
      </c>
      <c r="E78">
        <v>2024</v>
      </c>
      <c r="F78">
        <v>52000</v>
      </c>
      <c r="G78">
        <v>4200</v>
      </c>
      <c r="H78">
        <v>8.0799999999999997E-2</v>
      </c>
      <c r="I78" t="s">
        <v>211</v>
      </c>
      <c r="J78">
        <v>3.99</v>
      </c>
      <c r="K78">
        <v>2.1</v>
      </c>
      <c r="L78">
        <v>3.06</v>
      </c>
      <c r="M78">
        <v>2.9</v>
      </c>
      <c r="N78">
        <v>2.93</v>
      </c>
      <c r="O78">
        <v>2.2400000000000002</v>
      </c>
      <c r="P78">
        <v>2.9</v>
      </c>
    </row>
    <row r="79" spans="1:16" ht="15" customHeight="1" x14ac:dyDescent="0.3">
      <c r="A79" t="s">
        <v>175</v>
      </c>
      <c r="B79" t="s">
        <v>176</v>
      </c>
      <c r="C79" t="s">
        <v>172</v>
      </c>
      <c r="D79" t="s">
        <v>107</v>
      </c>
      <c r="E79">
        <v>2025</v>
      </c>
      <c r="F79">
        <v>55640</v>
      </c>
      <c r="G79">
        <v>4494</v>
      </c>
      <c r="H79">
        <v>8.0799999999999997E-2</v>
      </c>
      <c r="I79" t="s">
        <v>210</v>
      </c>
      <c r="J79">
        <v>4</v>
      </c>
      <c r="K79">
        <v>2.37</v>
      </c>
      <c r="L79">
        <v>3.31</v>
      </c>
      <c r="M79">
        <v>3.43</v>
      </c>
      <c r="N79">
        <v>3.19</v>
      </c>
      <c r="O79">
        <v>2</v>
      </c>
      <c r="P79">
        <v>2.97</v>
      </c>
    </row>
    <row r="80" spans="1:16" ht="15" customHeight="1" x14ac:dyDescent="0.3">
      <c r="A80" t="s">
        <v>170</v>
      </c>
      <c r="B80" t="s">
        <v>171</v>
      </c>
      <c r="C80" t="s">
        <v>172</v>
      </c>
      <c r="D80" t="s">
        <v>173</v>
      </c>
      <c r="E80">
        <v>2023</v>
      </c>
      <c r="F80">
        <v>193440</v>
      </c>
      <c r="G80">
        <v>21204</v>
      </c>
      <c r="H80">
        <v>0.1096</v>
      </c>
      <c r="I80" t="s">
        <v>210</v>
      </c>
      <c r="J80">
        <v>3.61</v>
      </c>
      <c r="K80">
        <v>2.91</v>
      </c>
      <c r="L80">
        <v>2.4500000000000002</v>
      </c>
      <c r="M80">
        <v>3.35</v>
      </c>
      <c r="N80">
        <v>2.65</v>
      </c>
      <c r="O80">
        <v>3.99</v>
      </c>
      <c r="P80">
        <v>3.48</v>
      </c>
    </row>
    <row r="81" spans="1:16" ht="15" customHeight="1" x14ac:dyDescent="0.3">
      <c r="A81" t="s">
        <v>170</v>
      </c>
      <c r="B81" t="s">
        <v>171</v>
      </c>
      <c r="C81" t="s">
        <v>172</v>
      </c>
      <c r="D81" t="s">
        <v>173</v>
      </c>
      <c r="E81">
        <v>2024</v>
      </c>
      <c r="F81">
        <v>208000</v>
      </c>
      <c r="G81">
        <v>22800</v>
      </c>
      <c r="H81">
        <v>0.1096</v>
      </c>
      <c r="I81" t="s">
        <v>211</v>
      </c>
      <c r="J81">
        <v>3.81</v>
      </c>
      <c r="K81">
        <v>3.17</v>
      </c>
      <c r="L81">
        <v>3.08</v>
      </c>
      <c r="M81">
        <v>3.92</v>
      </c>
      <c r="N81">
        <v>2.64</v>
      </c>
      <c r="O81">
        <v>3.87</v>
      </c>
      <c r="P81">
        <v>3.87</v>
      </c>
    </row>
    <row r="82" spans="1:16" ht="15" customHeight="1" x14ac:dyDescent="0.3">
      <c r="A82" t="s">
        <v>170</v>
      </c>
      <c r="B82" t="s">
        <v>171</v>
      </c>
      <c r="C82" t="s">
        <v>172</v>
      </c>
      <c r="D82" t="s">
        <v>173</v>
      </c>
      <c r="E82">
        <v>2025</v>
      </c>
      <c r="F82">
        <v>222560</v>
      </c>
      <c r="G82">
        <v>24396</v>
      </c>
      <c r="H82">
        <v>0.1096</v>
      </c>
      <c r="I82" t="s">
        <v>210</v>
      </c>
      <c r="J82">
        <v>4</v>
      </c>
      <c r="K82">
        <v>3.48</v>
      </c>
      <c r="L82">
        <v>2.54</v>
      </c>
      <c r="M82">
        <v>4</v>
      </c>
      <c r="N82">
        <v>3.07</v>
      </c>
      <c r="O82">
        <v>4</v>
      </c>
      <c r="P82">
        <v>3.76</v>
      </c>
    </row>
    <row r="83" spans="1:16" ht="15" customHeight="1" x14ac:dyDescent="0.3">
      <c r="A83" t="s">
        <v>127</v>
      </c>
      <c r="B83" t="s">
        <v>128</v>
      </c>
      <c r="C83" t="s">
        <v>86</v>
      </c>
      <c r="D83" t="s">
        <v>129</v>
      </c>
      <c r="E83">
        <v>2023</v>
      </c>
      <c r="F83">
        <v>3431.7</v>
      </c>
      <c r="G83">
        <v>435.2</v>
      </c>
      <c r="H83">
        <v>0.1268</v>
      </c>
      <c r="I83" t="s">
        <v>210</v>
      </c>
      <c r="J83">
        <v>0.77</v>
      </c>
      <c r="K83">
        <v>0.62</v>
      </c>
      <c r="L83">
        <v>2.84</v>
      </c>
      <c r="M83">
        <v>0.44</v>
      </c>
      <c r="N83">
        <v>1.97</v>
      </c>
      <c r="O83">
        <v>0.97</v>
      </c>
      <c r="P83">
        <v>2.08</v>
      </c>
    </row>
    <row r="84" spans="1:16" ht="15" customHeight="1" x14ac:dyDescent="0.3">
      <c r="A84" t="s">
        <v>127</v>
      </c>
      <c r="B84" t="s">
        <v>128</v>
      </c>
      <c r="C84" t="s">
        <v>86</v>
      </c>
      <c r="D84" t="s">
        <v>129</v>
      </c>
      <c r="E84">
        <v>2024</v>
      </c>
      <c r="F84">
        <v>3690</v>
      </c>
      <c r="G84">
        <v>468</v>
      </c>
      <c r="H84">
        <v>0.1268</v>
      </c>
      <c r="I84" t="s">
        <v>211</v>
      </c>
      <c r="J84">
        <v>0.87</v>
      </c>
      <c r="K84">
        <v>1.1399999999999999</v>
      </c>
      <c r="L84">
        <v>2.81</v>
      </c>
      <c r="M84">
        <v>1.04</v>
      </c>
      <c r="N84">
        <v>1.98</v>
      </c>
      <c r="O84">
        <v>1.1399999999999999</v>
      </c>
      <c r="P84">
        <v>2.17</v>
      </c>
    </row>
    <row r="85" spans="1:16" ht="15" customHeight="1" x14ac:dyDescent="0.3">
      <c r="A85" t="s">
        <v>127</v>
      </c>
      <c r="B85" t="s">
        <v>128</v>
      </c>
      <c r="C85" t="s">
        <v>86</v>
      </c>
      <c r="D85" t="s">
        <v>129</v>
      </c>
      <c r="E85">
        <v>2025</v>
      </c>
      <c r="F85">
        <v>3948.3</v>
      </c>
      <c r="G85">
        <v>500.8</v>
      </c>
      <c r="H85">
        <v>0.1268</v>
      </c>
      <c r="I85" t="s">
        <v>210</v>
      </c>
      <c r="J85">
        <v>1.34</v>
      </c>
      <c r="K85">
        <v>1.44</v>
      </c>
      <c r="L85">
        <v>3.29</v>
      </c>
      <c r="M85">
        <v>1.24</v>
      </c>
      <c r="N85">
        <v>2.4700000000000002</v>
      </c>
      <c r="O85">
        <v>1.34</v>
      </c>
      <c r="P85">
        <v>2.35</v>
      </c>
    </row>
    <row r="86" spans="1:16" ht="15" customHeight="1" x14ac:dyDescent="0.3">
      <c r="A86" t="s">
        <v>142</v>
      </c>
      <c r="B86" t="s">
        <v>143</v>
      </c>
      <c r="C86" t="s">
        <v>144</v>
      </c>
      <c r="D86" t="s">
        <v>136</v>
      </c>
      <c r="E86">
        <v>2023</v>
      </c>
      <c r="F86">
        <v>83700</v>
      </c>
      <c r="G86">
        <v>5859</v>
      </c>
      <c r="H86">
        <v>7.0000000000000007E-2</v>
      </c>
      <c r="I86" t="s">
        <v>210</v>
      </c>
      <c r="J86">
        <v>2.64</v>
      </c>
      <c r="K86">
        <v>2.1</v>
      </c>
      <c r="L86">
        <v>3.13</v>
      </c>
      <c r="M86">
        <v>3.62</v>
      </c>
      <c r="N86">
        <v>3.75</v>
      </c>
      <c r="O86">
        <v>3.14</v>
      </c>
      <c r="P86">
        <v>2.79</v>
      </c>
    </row>
    <row r="87" spans="1:16" ht="15" customHeight="1" x14ac:dyDescent="0.3">
      <c r="A87" t="s">
        <v>142</v>
      </c>
      <c r="B87" t="s">
        <v>143</v>
      </c>
      <c r="C87" t="s">
        <v>144</v>
      </c>
      <c r="D87" t="s">
        <v>136</v>
      </c>
      <c r="E87">
        <v>2024</v>
      </c>
      <c r="F87">
        <v>90000</v>
      </c>
      <c r="G87">
        <v>6300</v>
      </c>
      <c r="H87">
        <v>7.0000000000000007E-2</v>
      </c>
      <c r="I87" t="s">
        <v>211</v>
      </c>
      <c r="J87">
        <v>3.12</v>
      </c>
      <c r="K87">
        <v>1.97</v>
      </c>
      <c r="L87">
        <v>3</v>
      </c>
      <c r="M87">
        <v>3.96</v>
      </c>
      <c r="N87">
        <v>3.98</v>
      </c>
      <c r="O87">
        <v>2.88</v>
      </c>
      <c r="P87">
        <v>3.1</v>
      </c>
    </row>
    <row r="88" spans="1:16" ht="15" customHeight="1" x14ac:dyDescent="0.3">
      <c r="A88" t="s">
        <v>142</v>
      </c>
      <c r="B88" t="s">
        <v>143</v>
      </c>
      <c r="C88" t="s">
        <v>144</v>
      </c>
      <c r="D88" t="s">
        <v>136</v>
      </c>
      <c r="E88">
        <v>2025</v>
      </c>
      <c r="F88">
        <v>96300</v>
      </c>
      <c r="G88">
        <v>6741</v>
      </c>
      <c r="H88">
        <v>7.0000000000000007E-2</v>
      </c>
      <c r="I88" t="s">
        <v>210</v>
      </c>
      <c r="J88">
        <v>3.19</v>
      </c>
      <c r="K88">
        <v>2.74</v>
      </c>
      <c r="L88">
        <v>3.26</v>
      </c>
      <c r="M88">
        <v>4</v>
      </c>
      <c r="N88">
        <v>4</v>
      </c>
      <c r="O88">
        <v>4</v>
      </c>
      <c r="P88">
        <v>2.97</v>
      </c>
    </row>
    <row r="89" spans="1:16" ht="15" customHeight="1" x14ac:dyDescent="0.3">
      <c r="A89" t="s">
        <v>101</v>
      </c>
      <c r="B89" t="s">
        <v>102</v>
      </c>
      <c r="C89" t="s">
        <v>86</v>
      </c>
      <c r="D89" t="s">
        <v>103</v>
      </c>
      <c r="E89">
        <v>2023</v>
      </c>
      <c r="F89">
        <v>14546.1</v>
      </c>
      <c r="G89">
        <v>1663.8</v>
      </c>
      <c r="H89">
        <v>0.1144</v>
      </c>
      <c r="I89" t="s">
        <v>210</v>
      </c>
      <c r="J89">
        <v>0.54</v>
      </c>
      <c r="K89">
        <v>0.62</v>
      </c>
      <c r="L89">
        <v>4</v>
      </c>
      <c r="M89">
        <v>2.75</v>
      </c>
      <c r="N89">
        <v>2.71</v>
      </c>
      <c r="O89">
        <v>3.61</v>
      </c>
      <c r="P89">
        <v>3.28</v>
      </c>
    </row>
    <row r="90" spans="1:16" ht="15" customHeight="1" x14ac:dyDescent="0.3">
      <c r="A90" t="s">
        <v>101</v>
      </c>
      <c r="B90" t="s">
        <v>102</v>
      </c>
      <c r="C90" t="s">
        <v>86</v>
      </c>
      <c r="D90" t="s">
        <v>103</v>
      </c>
      <c r="E90">
        <v>2024</v>
      </c>
      <c r="F90">
        <v>15641</v>
      </c>
      <c r="G90">
        <v>1789</v>
      </c>
      <c r="H90">
        <v>0.1144</v>
      </c>
      <c r="I90" t="s">
        <v>211</v>
      </c>
      <c r="J90">
        <v>1.04</v>
      </c>
      <c r="K90">
        <v>1.0900000000000001</v>
      </c>
      <c r="L90">
        <v>3.96</v>
      </c>
      <c r="M90">
        <v>3.11</v>
      </c>
      <c r="N90">
        <v>2.69</v>
      </c>
      <c r="O90">
        <v>4</v>
      </c>
      <c r="P90">
        <v>4</v>
      </c>
    </row>
    <row r="91" spans="1:16" ht="15" customHeight="1" x14ac:dyDescent="0.3">
      <c r="A91" t="s">
        <v>101</v>
      </c>
      <c r="B91" t="s">
        <v>102</v>
      </c>
      <c r="C91" t="s">
        <v>86</v>
      </c>
      <c r="D91" t="s">
        <v>103</v>
      </c>
      <c r="E91">
        <v>2025</v>
      </c>
      <c r="F91">
        <v>16735.900000000001</v>
      </c>
      <c r="G91">
        <v>1914.2</v>
      </c>
      <c r="H91">
        <v>0.1144</v>
      </c>
      <c r="I91" t="s">
        <v>210</v>
      </c>
      <c r="J91">
        <v>1.19</v>
      </c>
      <c r="K91">
        <v>1.41</v>
      </c>
      <c r="L91">
        <v>4</v>
      </c>
      <c r="M91">
        <v>3.28</v>
      </c>
      <c r="N91">
        <v>2.87</v>
      </c>
      <c r="O91">
        <v>3.84</v>
      </c>
      <c r="P91">
        <v>3.9</v>
      </c>
    </row>
    <row r="92" spans="1:16" ht="15" customHeight="1" x14ac:dyDescent="0.3">
      <c r="A92" t="s">
        <v>190</v>
      </c>
      <c r="B92" t="s">
        <v>191</v>
      </c>
      <c r="C92" t="s">
        <v>188</v>
      </c>
      <c r="D92" t="s">
        <v>192</v>
      </c>
      <c r="E92">
        <v>2023</v>
      </c>
      <c r="F92">
        <v>167.4</v>
      </c>
      <c r="G92">
        <v>4.7</v>
      </c>
      <c r="H92">
        <v>2.81E-2</v>
      </c>
      <c r="I92" t="s">
        <v>210</v>
      </c>
      <c r="J92">
        <v>0.49</v>
      </c>
      <c r="K92">
        <v>0.28999999999999998</v>
      </c>
      <c r="L92">
        <v>1.89</v>
      </c>
      <c r="M92">
        <v>0.45</v>
      </c>
      <c r="N92">
        <v>0.78</v>
      </c>
      <c r="O92">
        <v>1.18</v>
      </c>
      <c r="P92">
        <v>0.98</v>
      </c>
    </row>
    <row r="93" spans="1:16" ht="15" customHeight="1" x14ac:dyDescent="0.3">
      <c r="A93" t="s">
        <v>190</v>
      </c>
      <c r="B93" t="s">
        <v>191</v>
      </c>
      <c r="C93" t="s">
        <v>188</v>
      </c>
      <c r="D93" t="s">
        <v>192</v>
      </c>
      <c r="E93">
        <v>2024</v>
      </c>
      <c r="F93">
        <v>180</v>
      </c>
      <c r="G93">
        <v>5</v>
      </c>
      <c r="H93">
        <v>2.7799999999999998E-2</v>
      </c>
      <c r="I93" t="s">
        <v>210</v>
      </c>
      <c r="J93">
        <v>0.88</v>
      </c>
      <c r="K93">
        <v>1.02</v>
      </c>
      <c r="L93">
        <v>1.96</v>
      </c>
      <c r="M93">
        <v>1.1200000000000001</v>
      </c>
      <c r="N93">
        <v>0.91</v>
      </c>
      <c r="O93">
        <v>0.91</v>
      </c>
      <c r="P93">
        <v>0.82</v>
      </c>
    </row>
    <row r="94" spans="1:16" ht="15" customHeight="1" x14ac:dyDescent="0.3">
      <c r="A94" t="s">
        <v>190</v>
      </c>
      <c r="B94" t="s">
        <v>191</v>
      </c>
      <c r="C94" t="s">
        <v>188</v>
      </c>
      <c r="D94" t="s">
        <v>192</v>
      </c>
      <c r="E94">
        <v>2025</v>
      </c>
      <c r="F94">
        <v>192.6</v>
      </c>
      <c r="G94">
        <v>5.4</v>
      </c>
      <c r="H94">
        <v>2.8000000000000001E-2</v>
      </c>
      <c r="I94" t="s">
        <v>210</v>
      </c>
      <c r="J94">
        <v>1.0900000000000001</v>
      </c>
      <c r="K94">
        <v>1.1200000000000001</v>
      </c>
      <c r="L94">
        <v>1.92</v>
      </c>
      <c r="M94">
        <v>1.49</v>
      </c>
      <c r="N94">
        <v>1.07</v>
      </c>
      <c r="O94">
        <v>1.5</v>
      </c>
      <c r="P94">
        <v>1.1599999999999999</v>
      </c>
    </row>
    <row r="95" spans="1:16" ht="15" customHeight="1" x14ac:dyDescent="0.3">
      <c r="A95" t="s">
        <v>146</v>
      </c>
      <c r="B95" t="s">
        <v>147</v>
      </c>
      <c r="C95" t="s">
        <v>144</v>
      </c>
      <c r="D95" t="s">
        <v>136</v>
      </c>
      <c r="E95">
        <v>2023</v>
      </c>
      <c r="F95">
        <v>6975</v>
      </c>
      <c r="G95">
        <v>446.4</v>
      </c>
      <c r="H95">
        <v>6.4000000000000001E-2</v>
      </c>
      <c r="I95" t="s">
        <v>210</v>
      </c>
      <c r="J95">
        <v>1.64</v>
      </c>
      <c r="K95">
        <v>0.74</v>
      </c>
      <c r="L95">
        <v>2.74</v>
      </c>
      <c r="M95">
        <v>1.29</v>
      </c>
      <c r="N95">
        <v>2.83</v>
      </c>
      <c r="O95">
        <v>2.89</v>
      </c>
      <c r="P95">
        <v>1.67</v>
      </c>
    </row>
    <row r="96" spans="1:16" ht="15" customHeight="1" x14ac:dyDescent="0.3">
      <c r="A96" t="s">
        <v>146</v>
      </c>
      <c r="B96" t="s">
        <v>147</v>
      </c>
      <c r="C96" t="s">
        <v>144</v>
      </c>
      <c r="D96" t="s">
        <v>136</v>
      </c>
      <c r="E96">
        <v>2024</v>
      </c>
      <c r="F96">
        <v>7500</v>
      </c>
      <c r="G96">
        <v>480</v>
      </c>
      <c r="H96">
        <v>6.4000000000000001E-2</v>
      </c>
      <c r="I96" t="s">
        <v>210</v>
      </c>
      <c r="J96">
        <v>1.87</v>
      </c>
      <c r="K96">
        <v>1.02</v>
      </c>
      <c r="L96">
        <v>2.87</v>
      </c>
      <c r="M96">
        <v>2.0699999999999998</v>
      </c>
      <c r="N96">
        <v>3.02</v>
      </c>
      <c r="O96">
        <v>3.09</v>
      </c>
      <c r="P96">
        <v>2.02</v>
      </c>
    </row>
    <row r="97" spans="1:16" ht="15" customHeight="1" x14ac:dyDescent="0.3">
      <c r="A97" t="s">
        <v>146</v>
      </c>
      <c r="B97" t="s">
        <v>147</v>
      </c>
      <c r="C97" t="s">
        <v>144</v>
      </c>
      <c r="D97" t="s">
        <v>136</v>
      </c>
      <c r="E97">
        <v>2025</v>
      </c>
      <c r="F97">
        <v>8025</v>
      </c>
      <c r="G97">
        <v>513.6</v>
      </c>
      <c r="H97">
        <v>6.4000000000000001E-2</v>
      </c>
      <c r="I97" t="s">
        <v>210</v>
      </c>
      <c r="J97">
        <v>2.58</v>
      </c>
      <c r="K97">
        <v>1.35</v>
      </c>
      <c r="L97">
        <v>3.05</v>
      </c>
      <c r="M97">
        <v>2.2000000000000002</v>
      </c>
      <c r="N97">
        <v>3.3</v>
      </c>
      <c r="O97">
        <v>3.15</v>
      </c>
      <c r="P97">
        <v>2.14</v>
      </c>
    </row>
    <row r="98" spans="1:16" ht="15" customHeight="1" x14ac:dyDescent="0.3">
      <c r="A98" t="s">
        <v>195</v>
      </c>
      <c r="B98" t="s">
        <v>196</v>
      </c>
      <c r="C98" t="s">
        <v>188</v>
      </c>
      <c r="D98" t="s">
        <v>197</v>
      </c>
      <c r="E98">
        <v>2023</v>
      </c>
      <c r="F98">
        <v>1860</v>
      </c>
      <c r="G98">
        <v>27.9</v>
      </c>
      <c r="H98">
        <v>1.4999999999999999E-2</v>
      </c>
      <c r="I98" t="s">
        <v>210</v>
      </c>
      <c r="J98">
        <v>0.56000000000000005</v>
      </c>
      <c r="K98">
        <v>0.65</v>
      </c>
      <c r="L98">
        <v>1.81</v>
      </c>
      <c r="M98">
        <v>1.71</v>
      </c>
      <c r="N98">
        <v>1.89</v>
      </c>
      <c r="O98">
        <v>1.32</v>
      </c>
      <c r="P98">
        <v>1.88</v>
      </c>
    </row>
    <row r="99" spans="1:16" ht="15" customHeight="1" x14ac:dyDescent="0.3">
      <c r="A99" t="s">
        <v>195</v>
      </c>
      <c r="B99" t="s">
        <v>196</v>
      </c>
      <c r="C99" t="s">
        <v>188</v>
      </c>
      <c r="D99" t="s">
        <v>197</v>
      </c>
      <c r="E99">
        <v>2024</v>
      </c>
      <c r="F99">
        <v>2000</v>
      </c>
      <c r="G99">
        <v>30</v>
      </c>
      <c r="H99">
        <v>1.4999999999999999E-2</v>
      </c>
      <c r="I99" t="s">
        <v>210</v>
      </c>
      <c r="J99">
        <v>1.06</v>
      </c>
      <c r="K99">
        <v>0.94</v>
      </c>
      <c r="L99">
        <v>1.98</v>
      </c>
      <c r="M99">
        <v>1.87</v>
      </c>
      <c r="N99">
        <v>1.87</v>
      </c>
      <c r="O99">
        <v>1.95</v>
      </c>
      <c r="P99">
        <v>1.92</v>
      </c>
    </row>
    <row r="100" spans="1:16" ht="15" customHeight="1" x14ac:dyDescent="0.3">
      <c r="A100" t="s">
        <v>195</v>
      </c>
      <c r="B100" t="s">
        <v>196</v>
      </c>
      <c r="C100" t="s">
        <v>188</v>
      </c>
      <c r="D100" t="s">
        <v>197</v>
      </c>
      <c r="E100">
        <v>2025</v>
      </c>
      <c r="F100">
        <v>2140</v>
      </c>
      <c r="G100">
        <v>32.1</v>
      </c>
      <c r="H100">
        <v>1.4999999999999999E-2</v>
      </c>
      <c r="I100" t="s">
        <v>210</v>
      </c>
      <c r="J100">
        <v>1.35</v>
      </c>
      <c r="K100">
        <v>1.46</v>
      </c>
      <c r="L100">
        <v>2.33</v>
      </c>
      <c r="M100">
        <v>2.61</v>
      </c>
      <c r="N100">
        <v>2.48</v>
      </c>
      <c r="O100">
        <v>1.72</v>
      </c>
      <c r="P100">
        <v>2.36</v>
      </c>
    </row>
    <row r="101" spans="1:16" ht="15" customHeight="1" x14ac:dyDescent="0.3">
      <c r="A101" t="s">
        <v>138</v>
      </c>
      <c r="B101" t="s">
        <v>139</v>
      </c>
      <c r="C101" t="s">
        <v>86</v>
      </c>
      <c r="D101" t="s">
        <v>140</v>
      </c>
      <c r="E101">
        <v>2023</v>
      </c>
      <c r="F101">
        <v>750.5</v>
      </c>
      <c r="G101">
        <v>276.2</v>
      </c>
      <c r="H101">
        <v>0.36799999999999999</v>
      </c>
      <c r="I101" t="s">
        <v>210</v>
      </c>
      <c r="J101">
        <v>0.46</v>
      </c>
      <c r="K101">
        <v>0.46</v>
      </c>
      <c r="L101">
        <v>0.64</v>
      </c>
      <c r="M101">
        <v>0.52</v>
      </c>
      <c r="N101">
        <v>2.11</v>
      </c>
      <c r="O101">
        <v>0.79</v>
      </c>
      <c r="P101">
        <v>2.0499999999999998</v>
      </c>
    </row>
    <row r="102" spans="1:16" ht="15" customHeight="1" x14ac:dyDescent="0.3">
      <c r="A102" t="s">
        <v>138</v>
      </c>
      <c r="B102" t="s">
        <v>139</v>
      </c>
      <c r="C102" t="s">
        <v>86</v>
      </c>
      <c r="D102" t="s">
        <v>140</v>
      </c>
      <c r="E102">
        <v>2024</v>
      </c>
      <c r="F102">
        <v>807</v>
      </c>
      <c r="G102">
        <v>297</v>
      </c>
      <c r="H102">
        <v>0.36799999999999999</v>
      </c>
      <c r="I102" t="s">
        <v>211</v>
      </c>
      <c r="J102">
        <v>0.89</v>
      </c>
      <c r="K102">
        <v>0.96</v>
      </c>
      <c r="L102">
        <v>0.97</v>
      </c>
      <c r="M102">
        <v>0.98</v>
      </c>
      <c r="N102">
        <v>1.85</v>
      </c>
      <c r="O102">
        <v>0.87</v>
      </c>
      <c r="P102">
        <v>2.0099999999999998</v>
      </c>
    </row>
    <row r="103" spans="1:16" ht="15" customHeight="1" x14ac:dyDescent="0.3">
      <c r="A103" t="s">
        <v>138</v>
      </c>
      <c r="B103" t="s">
        <v>139</v>
      </c>
      <c r="C103" t="s">
        <v>86</v>
      </c>
      <c r="D103" t="s">
        <v>140</v>
      </c>
      <c r="E103">
        <v>2025</v>
      </c>
      <c r="F103">
        <v>863.5</v>
      </c>
      <c r="G103">
        <v>317.8</v>
      </c>
      <c r="H103">
        <v>0.36799999999999999</v>
      </c>
      <c r="I103" t="s">
        <v>210</v>
      </c>
      <c r="J103">
        <v>1.26</v>
      </c>
      <c r="K103">
        <v>1.1499999999999999</v>
      </c>
      <c r="L103">
        <v>1.05</v>
      </c>
      <c r="M103">
        <v>1.22</v>
      </c>
      <c r="N103">
        <v>1.48</v>
      </c>
      <c r="O103">
        <v>1.39</v>
      </c>
      <c r="P103">
        <v>1.1100000000000001</v>
      </c>
    </row>
    <row r="104" spans="1:16" ht="15" customHeight="1" x14ac:dyDescent="0.3">
      <c r="A104" t="s">
        <v>124</v>
      </c>
      <c r="B104" t="s">
        <v>125</v>
      </c>
      <c r="C104" t="s">
        <v>86</v>
      </c>
      <c r="D104" t="s">
        <v>87</v>
      </c>
      <c r="E104">
        <v>2023</v>
      </c>
      <c r="F104">
        <v>5929.7</v>
      </c>
      <c r="G104">
        <v>625.9</v>
      </c>
      <c r="H104">
        <v>0.1056</v>
      </c>
      <c r="I104" t="s">
        <v>210</v>
      </c>
      <c r="J104">
        <v>1.69</v>
      </c>
      <c r="K104">
        <v>0.88</v>
      </c>
      <c r="L104">
        <v>4</v>
      </c>
      <c r="M104">
        <v>1.19</v>
      </c>
      <c r="N104">
        <v>2.62</v>
      </c>
      <c r="O104">
        <v>1.37</v>
      </c>
      <c r="P104">
        <v>1.72</v>
      </c>
    </row>
    <row r="105" spans="1:16" ht="15" customHeight="1" x14ac:dyDescent="0.3">
      <c r="A105" t="s">
        <v>124</v>
      </c>
      <c r="B105" t="s">
        <v>125</v>
      </c>
      <c r="C105" t="s">
        <v>86</v>
      </c>
      <c r="D105" t="s">
        <v>87</v>
      </c>
      <c r="E105">
        <v>2024</v>
      </c>
      <c r="F105">
        <v>6376</v>
      </c>
      <c r="G105">
        <v>673</v>
      </c>
      <c r="H105">
        <v>0.1056</v>
      </c>
      <c r="I105" t="s">
        <v>211</v>
      </c>
      <c r="J105">
        <v>2.0299999999999998</v>
      </c>
      <c r="K105">
        <v>1.1000000000000001</v>
      </c>
      <c r="L105">
        <v>4</v>
      </c>
      <c r="M105">
        <v>1.86</v>
      </c>
      <c r="N105">
        <v>2.88</v>
      </c>
      <c r="O105">
        <v>2.1800000000000002</v>
      </c>
      <c r="P105">
        <v>1.85</v>
      </c>
    </row>
    <row r="106" spans="1:16" ht="15" customHeight="1" x14ac:dyDescent="0.3">
      <c r="A106" t="s">
        <v>124</v>
      </c>
      <c r="B106" t="s">
        <v>125</v>
      </c>
      <c r="C106" t="s">
        <v>86</v>
      </c>
      <c r="D106" t="s">
        <v>87</v>
      </c>
      <c r="E106">
        <v>2025</v>
      </c>
      <c r="F106">
        <v>6822.3</v>
      </c>
      <c r="G106">
        <v>720.1</v>
      </c>
      <c r="H106">
        <v>0.1056</v>
      </c>
      <c r="I106" t="s">
        <v>210</v>
      </c>
      <c r="J106">
        <v>2.3199999999999998</v>
      </c>
      <c r="K106">
        <v>1.63</v>
      </c>
      <c r="L106">
        <v>4</v>
      </c>
      <c r="M106">
        <v>2</v>
      </c>
      <c r="N106">
        <v>2.98</v>
      </c>
      <c r="O106">
        <v>1.81</v>
      </c>
      <c r="P106">
        <v>2.15</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6"/>
  <sheetViews>
    <sheetView zoomScaleNormal="100" workbookViewId="0">
      <pane ySplit="1" topLeftCell="A2" activePane="bottomLeft" state="frozen"/>
      <selection pane="bottomLeft"/>
    </sheetView>
  </sheetViews>
  <sheetFormatPr defaultColWidth="8.6640625" defaultRowHeight="14.4" x14ac:dyDescent="0.3"/>
  <cols>
    <col min="1" max="1" width="40" customWidth="1"/>
    <col min="2" max="2" width="11" customWidth="1"/>
    <col min="3" max="3" width="18" customWidth="1"/>
    <col min="4" max="6" width="45" customWidth="1"/>
  </cols>
  <sheetData>
    <row r="1" spans="1:6" ht="15" customHeight="1" x14ac:dyDescent="0.3">
      <c r="A1" s="9" t="s">
        <v>79</v>
      </c>
      <c r="B1" s="9" t="s">
        <v>212</v>
      </c>
      <c r="C1" s="9" t="s">
        <v>213</v>
      </c>
      <c r="D1" s="9" t="s">
        <v>214</v>
      </c>
      <c r="E1" s="9" t="s">
        <v>215</v>
      </c>
      <c r="F1" s="9" t="s">
        <v>216</v>
      </c>
    </row>
    <row r="2" spans="1:6" ht="15" customHeight="1" x14ac:dyDescent="0.3">
      <c r="A2" t="s">
        <v>84</v>
      </c>
      <c r="B2" t="s">
        <v>204</v>
      </c>
      <c r="C2">
        <v>2024</v>
      </c>
      <c r="D2" t="s">
        <v>217</v>
      </c>
      <c r="E2" t="s">
        <v>218</v>
      </c>
      <c r="F2" t="s">
        <v>219</v>
      </c>
    </row>
    <row r="3" spans="1:6" ht="15" customHeight="1" x14ac:dyDescent="0.3">
      <c r="A3" t="s">
        <v>84</v>
      </c>
      <c r="B3" t="s">
        <v>205</v>
      </c>
      <c r="C3">
        <v>2023</v>
      </c>
      <c r="D3" t="s">
        <v>220</v>
      </c>
      <c r="E3" t="s">
        <v>221</v>
      </c>
      <c r="F3" t="s">
        <v>222</v>
      </c>
    </row>
    <row r="4" spans="1:6" ht="15" customHeight="1" x14ac:dyDescent="0.3">
      <c r="A4" t="s">
        <v>84</v>
      </c>
      <c r="B4" t="s">
        <v>208</v>
      </c>
      <c r="C4">
        <v>2023</v>
      </c>
      <c r="D4" t="s">
        <v>223</v>
      </c>
      <c r="E4" t="s">
        <v>224</v>
      </c>
      <c r="F4" t="s">
        <v>225</v>
      </c>
    </row>
    <row r="5" spans="1:6" ht="15" customHeight="1" x14ac:dyDescent="0.3">
      <c r="A5" t="s">
        <v>89</v>
      </c>
      <c r="B5" t="s">
        <v>203</v>
      </c>
      <c r="C5">
        <v>2024</v>
      </c>
      <c r="D5" t="s">
        <v>226</v>
      </c>
      <c r="E5" t="s">
        <v>227</v>
      </c>
      <c r="F5" t="s">
        <v>228</v>
      </c>
    </row>
    <row r="6" spans="1:6" ht="15" customHeight="1" x14ac:dyDescent="0.3">
      <c r="A6" t="s">
        <v>89</v>
      </c>
      <c r="B6" t="s">
        <v>205</v>
      </c>
      <c r="C6">
        <v>2024</v>
      </c>
      <c r="D6" t="s">
        <v>229</v>
      </c>
      <c r="E6" t="s">
        <v>230</v>
      </c>
      <c r="F6" t="s">
        <v>231</v>
      </c>
    </row>
    <row r="7" spans="1:6" ht="15" customHeight="1" x14ac:dyDescent="0.3">
      <c r="A7" t="s">
        <v>89</v>
      </c>
      <c r="B7" t="s">
        <v>208</v>
      </c>
      <c r="C7">
        <v>2023</v>
      </c>
      <c r="D7" t="s">
        <v>232</v>
      </c>
      <c r="E7" t="s">
        <v>233</v>
      </c>
      <c r="F7" t="s">
        <v>234</v>
      </c>
    </row>
    <row r="8" spans="1:6" ht="15" customHeight="1" x14ac:dyDescent="0.3">
      <c r="A8" t="s">
        <v>92</v>
      </c>
      <c r="B8" t="s">
        <v>203</v>
      </c>
      <c r="C8">
        <v>2024</v>
      </c>
      <c r="D8" t="s">
        <v>235</v>
      </c>
      <c r="E8" t="s">
        <v>236</v>
      </c>
      <c r="F8" t="s">
        <v>237</v>
      </c>
    </row>
    <row r="9" spans="1:6" ht="15" customHeight="1" x14ac:dyDescent="0.3">
      <c r="A9" t="s">
        <v>92</v>
      </c>
      <c r="B9" t="s">
        <v>204</v>
      </c>
      <c r="C9">
        <v>2023</v>
      </c>
      <c r="D9" t="s">
        <v>238</v>
      </c>
      <c r="E9" t="s">
        <v>239</v>
      </c>
      <c r="F9" t="s">
        <v>240</v>
      </c>
    </row>
    <row r="10" spans="1:6" ht="15" customHeight="1" x14ac:dyDescent="0.3">
      <c r="A10" t="s">
        <v>92</v>
      </c>
      <c r="B10" t="s">
        <v>205</v>
      </c>
      <c r="C10">
        <v>2023</v>
      </c>
      <c r="D10" t="s">
        <v>241</v>
      </c>
      <c r="E10" t="s">
        <v>242</v>
      </c>
      <c r="F10" t="s">
        <v>243</v>
      </c>
    </row>
    <row r="11" spans="1:6" ht="15" customHeight="1" x14ac:dyDescent="0.3">
      <c r="A11" t="s">
        <v>94</v>
      </c>
      <c r="B11" t="s">
        <v>204</v>
      </c>
      <c r="C11">
        <v>2024</v>
      </c>
      <c r="D11" t="s">
        <v>244</v>
      </c>
      <c r="E11" t="s">
        <v>245</v>
      </c>
      <c r="F11" t="s">
        <v>246</v>
      </c>
    </row>
    <row r="12" spans="1:6" ht="15" customHeight="1" x14ac:dyDescent="0.3">
      <c r="A12" t="s">
        <v>94</v>
      </c>
      <c r="B12" t="s">
        <v>205</v>
      </c>
      <c r="C12">
        <v>2023</v>
      </c>
      <c r="D12" t="s">
        <v>247</v>
      </c>
      <c r="E12" t="s">
        <v>248</v>
      </c>
      <c r="F12" t="s">
        <v>249</v>
      </c>
    </row>
    <row r="13" spans="1:6" ht="15" customHeight="1" x14ac:dyDescent="0.3">
      <c r="A13" t="s">
        <v>97</v>
      </c>
      <c r="B13" t="s">
        <v>205</v>
      </c>
      <c r="C13">
        <v>2023</v>
      </c>
      <c r="D13" t="s">
        <v>250</v>
      </c>
      <c r="E13" t="s">
        <v>251</v>
      </c>
      <c r="F13" t="s">
        <v>252</v>
      </c>
    </row>
    <row r="14" spans="1:6" ht="15" customHeight="1" x14ac:dyDescent="0.3">
      <c r="A14" t="s">
        <v>97</v>
      </c>
      <c r="B14" t="s">
        <v>208</v>
      </c>
      <c r="C14">
        <v>2024</v>
      </c>
      <c r="D14" t="s">
        <v>253</v>
      </c>
      <c r="E14" t="s">
        <v>254</v>
      </c>
      <c r="F14" t="s">
        <v>255</v>
      </c>
    </row>
    <row r="15" spans="1:6" ht="15" customHeight="1" x14ac:dyDescent="0.3">
      <c r="A15" t="s">
        <v>101</v>
      </c>
      <c r="B15" t="s">
        <v>205</v>
      </c>
      <c r="C15">
        <v>2024</v>
      </c>
      <c r="D15" t="s">
        <v>256</v>
      </c>
      <c r="E15" t="s">
        <v>257</v>
      </c>
      <c r="F15" t="s">
        <v>258</v>
      </c>
    </row>
    <row r="16" spans="1:6" ht="15" customHeight="1" x14ac:dyDescent="0.3">
      <c r="A16" t="s">
        <v>101</v>
      </c>
      <c r="B16" t="s">
        <v>208</v>
      </c>
      <c r="C16">
        <v>2024</v>
      </c>
      <c r="D16" t="s">
        <v>259</v>
      </c>
      <c r="E16" t="s">
        <v>260</v>
      </c>
      <c r="F16" t="s">
        <v>261</v>
      </c>
    </row>
    <row r="17" spans="1:6" ht="15" customHeight="1" x14ac:dyDescent="0.3">
      <c r="A17" t="s">
        <v>101</v>
      </c>
      <c r="B17" t="s">
        <v>209</v>
      </c>
      <c r="C17">
        <v>2024</v>
      </c>
      <c r="D17" t="s">
        <v>262</v>
      </c>
      <c r="E17" t="s">
        <v>260</v>
      </c>
      <c r="F17" t="s">
        <v>261</v>
      </c>
    </row>
    <row r="18" spans="1:6" ht="15" customHeight="1" x14ac:dyDescent="0.3">
      <c r="A18" t="s">
        <v>109</v>
      </c>
      <c r="B18" t="s">
        <v>205</v>
      </c>
      <c r="C18">
        <v>2024</v>
      </c>
      <c r="D18" t="s">
        <v>263</v>
      </c>
      <c r="E18" t="s">
        <v>264</v>
      </c>
      <c r="F18" t="s">
        <v>265</v>
      </c>
    </row>
    <row r="19" spans="1:6" ht="15" customHeight="1" x14ac:dyDescent="0.3">
      <c r="A19" t="s">
        <v>109</v>
      </c>
      <c r="B19" t="s">
        <v>207</v>
      </c>
      <c r="C19">
        <v>2024</v>
      </c>
      <c r="D19" t="s">
        <v>266</v>
      </c>
      <c r="E19" t="s">
        <v>267</v>
      </c>
      <c r="F19" t="s">
        <v>265</v>
      </c>
    </row>
    <row r="20" spans="1:6" ht="15" customHeight="1" x14ac:dyDescent="0.3">
      <c r="A20" t="s">
        <v>112</v>
      </c>
      <c r="B20" t="s">
        <v>207</v>
      </c>
      <c r="C20">
        <v>2024</v>
      </c>
      <c r="D20" t="s">
        <v>268</v>
      </c>
      <c r="E20" t="s">
        <v>269</v>
      </c>
      <c r="F20" t="s">
        <v>270</v>
      </c>
    </row>
    <row r="21" spans="1:6" ht="15" customHeight="1" x14ac:dyDescent="0.3">
      <c r="A21" t="s">
        <v>115</v>
      </c>
      <c r="B21" t="s">
        <v>207</v>
      </c>
      <c r="C21">
        <v>2024</v>
      </c>
      <c r="D21" t="s">
        <v>271</v>
      </c>
      <c r="E21" t="s">
        <v>272</v>
      </c>
      <c r="F21" t="s">
        <v>273</v>
      </c>
    </row>
    <row r="22" spans="1:6" ht="15" customHeight="1" x14ac:dyDescent="0.3">
      <c r="A22" t="s">
        <v>142</v>
      </c>
      <c r="B22" t="s">
        <v>205</v>
      </c>
      <c r="C22">
        <v>2024</v>
      </c>
      <c r="D22" t="s">
        <v>274</v>
      </c>
      <c r="E22" t="s">
        <v>275</v>
      </c>
      <c r="F22" t="s">
        <v>276</v>
      </c>
    </row>
    <row r="23" spans="1:6" ht="15" customHeight="1" x14ac:dyDescent="0.3">
      <c r="A23" t="s">
        <v>142</v>
      </c>
      <c r="B23" t="s">
        <v>207</v>
      </c>
      <c r="C23">
        <v>2024</v>
      </c>
      <c r="D23" t="s">
        <v>277</v>
      </c>
      <c r="E23" t="s">
        <v>278</v>
      </c>
      <c r="F23" t="s">
        <v>279</v>
      </c>
    </row>
    <row r="24" spans="1:6" ht="15" customHeight="1" x14ac:dyDescent="0.3">
      <c r="A24" t="s">
        <v>142</v>
      </c>
      <c r="B24" t="s">
        <v>208</v>
      </c>
      <c r="C24">
        <v>2024</v>
      </c>
      <c r="D24" t="s">
        <v>280</v>
      </c>
      <c r="E24" t="s">
        <v>281</v>
      </c>
      <c r="F24" t="s">
        <v>282</v>
      </c>
    </row>
    <row r="25" spans="1:6" ht="15" customHeight="1" x14ac:dyDescent="0.3">
      <c r="A25" t="s">
        <v>142</v>
      </c>
      <c r="B25" t="s">
        <v>209</v>
      </c>
      <c r="C25">
        <v>2024</v>
      </c>
      <c r="D25" t="s">
        <v>283</v>
      </c>
      <c r="E25" t="s">
        <v>284</v>
      </c>
      <c r="F25" t="s">
        <v>285</v>
      </c>
    </row>
    <row r="26" spans="1:6" ht="15" customHeight="1" x14ac:dyDescent="0.3">
      <c r="A26" t="s">
        <v>170</v>
      </c>
      <c r="B26" t="s">
        <v>203</v>
      </c>
      <c r="C26">
        <v>2024</v>
      </c>
      <c r="D26" t="s">
        <v>286</v>
      </c>
      <c r="E26" t="s">
        <v>287</v>
      </c>
      <c r="F26" t="s">
        <v>288</v>
      </c>
    </row>
    <row r="27" spans="1:6" ht="15" customHeight="1" x14ac:dyDescent="0.3">
      <c r="A27" t="s">
        <v>170</v>
      </c>
      <c r="B27" t="s">
        <v>205</v>
      </c>
      <c r="C27">
        <v>2024</v>
      </c>
      <c r="D27" t="s">
        <v>289</v>
      </c>
      <c r="E27" t="s">
        <v>290</v>
      </c>
      <c r="F27" t="s">
        <v>291</v>
      </c>
    </row>
    <row r="28" spans="1:6" ht="15" customHeight="1" x14ac:dyDescent="0.3">
      <c r="A28" t="s">
        <v>175</v>
      </c>
      <c r="B28" t="s">
        <v>203</v>
      </c>
      <c r="C28">
        <v>2024</v>
      </c>
      <c r="D28" t="s">
        <v>292</v>
      </c>
      <c r="E28" t="s">
        <v>287</v>
      </c>
      <c r="F28" t="s">
        <v>288</v>
      </c>
    </row>
    <row r="29" spans="1:6" ht="15" customHeight="1" x14ac:dyDescent="0.3">
      <c r="A29" t="s">
        <v>138</v>
      </c>
      <c r="B29" t="s">
        <v>209</v>
      </c>
      <c r="C29">
        <v>2025</v>
      </c>
      <c r="D29" t="s">
        <v>293</v>
      </c>
      <c r="E29" t="s">
        <v>294</v>
      </c>
      <c r="F29" t="s">
        <v>295</v>
      </c>
    </row>
    <row r="30" spans="1:6" ht="15" customHeight="1" x14ac:dyDescent="0.3">
      <c r="A30" t="s">
        <v>105</v>
      </c>
      <c r="B30" t="s">
        <v>203</v>
      </c>
      <c r="C30">
        <v>2024</v>
      </c>
      <c r="D30" t="s">
        <v>296</v>
      </c>
      <c r="E30" t="s">
        <v>297</v>
      </c>
      <c r="F30" t="s">
        <v>298</v>
      </c>
    </row>
    <row r="31" spans="1:6" ht="15" customHeight="1" x14ac:dyDescent="0.3">
      <c r="A31" t="s">
        <v>105</v>
      </c>
      <c r="B31" t="s">
        <v>205</v>
      </c>
      <c r="C31">
        <v>2023</v>
      </c>
      <c r="D31" t="s">
        <v>299</v>
      </c>
      <c r="E31" t="s">
        <v>297</v>
      </c>
      <c r="F31" t="s">
        <v>298</v>
      </c>
    </row>
    <row r="32" spans="1:6" ht="15" customHeight="1" x14ac:dyDescent="0.3">
      <c r="A32" t="s">
        <v>118</v>
      </c>
      <c r="B32" t="s">
        <v>205</v>
      </c>
      <c r="C32">
        <v>2024</v>
      </c>
      <c r="D32" t="s">
        <v>300</v>
      </c>
      <c r="E32" t="s">
        <v>301</v>
      </c>
      <c r="F32" t="s">
        <v>302</v>
      </c>
    </row>
    <row r="33" spans="1:6" ht="15" customHeight="1" x14ac:dyDescent="0.3">
      <c r="A33" t="s">
        <v>121</v>
      </c>
      <c r="B33" t="s">
        <v>205</v>
      </c>
      <c r="C33">
        <v>2023</v>
      </c>
      <c r="D33" t="s">
        <v>303</v>
      </c>
      <c r="E33" t="s">
        <v>304</v>
      </c>
      <c r="F33" t="s">
        <v>305</v>
      </c>
    </row>
    <row r="34" spans="1:6" ht="15" customHeight="1" x14ac:dyDescent="0.3">
      <c r="A34" t="s">
        <v>124</v>
      </c>
      <c r="B34" t="s">
        <v>205</v>
      </c>
      <c r="C34">
        <v>2024</v>
      </c>
      <c r="D34" t="s">
        <v>306</v>
      </c>
      <c r="E34" t="s">
        <v>307</v>
      </c>
      <c r="F34" t="s">
        <v>308</v>
      </c>
    </row>
    <row r="35" spans="1:6" ht="15" customHeight="1" x14ac:dyDescent="0.3">
      <c r="A35" t="s">
        <v>124</v>
      </c>
      <c r="B35" t="s">
        <v>207</v>
      </c>
      <c r="C35">
        <v>2025</v>
      </c>
      <c r="D35" t="s">
        <v>309</v>
      </c>
      <c r="E35" t="s">
        <v>310</v>
      </c>
      <c r="F35" t="s">
        <v>311</v>
      </c>
    </row>
    <row r="36" spans="1:6" ht="15" customHeight="1" x14ac:dyDescent="0.3">
      <c r="A36" t="s">
        <v>127</v>
      </c>
      <c r="B36" t="s">
        <v>205</v>
      </c>
      <c r="C36">
        <v>2024</v>
      </c>
      <c r="D36" t="s">
        <v>312</v>
      </c>
      <c r="E36" t="s">
        <v>313</v>
      </c>
      <c r="F36" t="s">
        <v>314</v>
      </c>
    </row>
    <row r="37" spans="1:6" ht="15" customHeight="1" x14ac:dyDescent="0.3">
      <c r="A37" t="s">
        <v>131</v>
      </c>
      <c r="B37" t="s">
        <v>203</v>
      </c>
      <c r="C37">
        <v>2024</v>
      </c>
      <c r="D37" t="s">
        <v>315</v>
      </c>
      <c r="E37" t="s">
        <v>316</v>
      </c>
      <c r="F37" t="s">
        <v>317</v>
      </c>
    </row>
    <row r="38" spans="1:6" ht="15" customHeight="1" x14ac:dyDescent="0.3">
      <c r="A38" t="s">
        <v>131</v>
      </c>
      <c r="B38" t="s">
        <v>209</v>
      </c>
      <c r="C38">
        <v>2024</v>
      </c>
      <c r="D38" t="s">
        <v>318</v>
      </c>
      <c r="E38" t="s">
        <v>316</v>
      </c>
      <c r="F38" t="s">
        <v>317</v>
      </c>
    </row>
    <row r="39" spans="1:6" ht="15" customHeight="1" x14ac:dyDescent="0.3">
      <c r="A39" t="s">
        <v>134</v>
      </c>
      <c r="B39" t="s">
        <v>208</v>
      </c>
      <c r="C39">
        <v>2024</v>
      </c>
      <c r="D39" t="s">
        <v>319</v>
      </c>
      <c r="E39" t="s">
        <v>320</v>
      </c>
      <c r="F39" t="s">
        <v>321</v>
      </c>
    </row>
    <row r="40" spans="1:6" ht="15" customHeight="1" x14ac:dyDescent="0.3">
      <c r="A40" t="s">
        <v>134</v>
      </c>
      <c r="B40" t="s">
        <v>209</v>
      </c>
      <c r="C40">
        <v>2024</v>
      </c>
      <c r="D40" t="s">
        <v>322</v>
      </c>
      <c r="E40" t="s">
        <v>320</v>
      </c>
      <c r="F40" t="s">
        <v>321</v>
      </c>
    </row>
    <row r="41" spans="1:6" ht="15" customHeight="1" x14ac:dyDescent="0.3">
      <c r="A41" t="s">
        <v>146</v>
      </c>
      <c r="B41" t="s">
        <v>205</v>
      </c>
      <c r="C41">
        <v>2024</v>
      </c>
      <c r="D41" t="s">
        <v>323</v>
      </c>
      <c r="E41" t="s">
        <v>324</v>
      </c>
      <c r="F41" t="s">
        <v>325</v>
      </c>
    </row>
    <row r="42" spans="1:6" ht="15" customHeight="1" x14ac:dyDescent="0.3">
      <c r="A42" t="s">
        <v>146</v>
      </c>
      <c r="B42" t="s">
        <v>208</v>
      </c>
      <c r="C42">
        <v>2024</v>
      </c>
      <c r="D42" t="s">
        <v>326</v>
      </c>
      <c r="E42" t="s">
        <v>327</v>
      </c>
      <c r="F42" t="s">
        <v>328</v>
      </c>
    </row>
    <row r="43" spans="1:6" ht="15" customHeight="1" x14ac:dyDescent="0.3">
      <c r="A43" t="s">
        <v>148</v>
      </c>
      <c r="B43" t="s">
        <v>203</v>
      </c>
      <c r="C43">
        <v>2024</v>
      </c>
      <c r="D43" t="s">
        <v>329</v>
      </c>
      <c r="E43" t="s">
        <v>330</v>
      </c>
      <c r="F43" t="s">
        <v>331</v>
      </c>
    </row>
    <row r="44" spans="1:6" ht="15" customHeight="1" x14ac:dyDescent="0.3">
      <c r="A44" t="s">
        <v>148</v>
      </c>
      <c r="B44" t="s">
        <v>205</v>
      </c>
      <c r="C44">
        <v>2024</v>
      </c>
      <c r="D44" t="s">
        <v>332</v>
      </c>
      <c r="E44" t="s">
        <v>333</v>
      </c>
      <c r="F44" t="s">
        <v>334</v>
      </c>
    </row>
    <row r="45" spans="1:6" ht="15" customHeight="1" x14ac:dyDescent="0.3">
      <c r="A45" t="s">
        <v>154</v>
      </c>
      <c r="B45" t="s">
        <v>205</v>
      </c>
      <c r="C45">
        <v>2024</v>
      </c>
      <c r="D45" t="s">
        <v>335</v>
      </c>
      <c r="E45" t="s">
        <v>336</v>
      </c>
      <c r="F45" t="s">
        <v>337</v>
      </c>
    </row>
    <row r="46" spans="1:6" ht="15" customHeight="1" x14ac:dyDescent="0.3">
      <c r="A46" t="s">
        <v>154</v>
      </c>
      <c r="B46" t="s">
        <v>207</v>
      </c>
      <c r="C46">
        <v>2024</v>
      </c>
      <c r="D46" t="s">
        <v>338</v>
      </c>
      <c r="E46" t="s">
        <v>339</v>
      </c>
      <c r="F46" t="s">
        <v>340</v>
      </c>
    </row>
    <row r="47" spans="1:6" ht="15" customHeight="1" x14ac:dyDescent="0.3">
      <c r="A47" t="s">
        <v>158</v>
      </c>
      <c r="B47" t="s">
        <v>203</v>
      </c>
      <c r="C47">
        <v>2024</v>
      </c>
      <c r="D47" t="s">
        <v>341</v>
      </c>
      <c r="E47" t="s">
        <v>342</v>
      </c>
      <c r="F47" t="s">
        <v>343</v>
      </c>
    </row>
    <row r="48" spans="1:6" ht="15" customHeight="1" x14ac:dyDescent="0.3">
      <c r="A48" t="s">
        <v>158</v>
      </c>
      <c r="B48" t="s">
        <v>208</v>
      </c>
      <c r="C48">
        <v>2025</v>
      </c>
      <c r="D48" t="s">
        <v>344</v>
      </c>
      <c r="E48" t="s">
        <v>345</v>
      </c>
      <c r="F48" t="s">
        <v>346</v>
      </c>
    </row>
    <row r="49" spans="1:6" ht="15" customHeight="1" x14ac:dyDescent="0.3">
      <c r="A49" t="s">
        <v>162</v>
      </c>
      <c r="B49" t="s">
        <v>205</v>
      </c>
      <c r="C49">
        <v>2024</v>
      </c>
      <c r="D49" t="s">
        <v>347</v>
      </c>
      <c r="E49" t="s">
        <v>348</v>
      </c>
      <c r="F49" t="s">
        <v>349</v>
      </c>
    </row>
    <row r="50" spans="1:6" ht="15" customHeight="1" x14ac:dyDescent="0.3">
      <c r="A50" t="s">
        <v>162</v>
      </c>
      <c r="B50" t="s">
        <v>203</v>
      </c>
      <c r="C50">
        <v>2024</v>
      </c>
      <c r="D50" t="s">
        <v>350</v>
      </c>
      <c r="E50" t="s">
        <v>348</v>
      </c>
      <c r="F50" t="s">
        <v>349</v>
      </c>
    </row>
    <row r="51" spans="1:6" ht="15" customHeight="1" x14ac:dyDescent="0.3">
      <c r="A51" t="s">
        <v>170</v>
      </c>
      <c r="B51" t="s">
        <v>203</v>
      </c>
      <c r="C51">
        <v>2024</v>
      </c>
      <c r="D51" t="s">
        <v>351</v>
      </c>
      <c r="E51" t="s">
        <v>287</v>
      </c>
      <c r="F51" t="s">
        <v>288</v>
      </c>
    </row>
    <row r="52" spans="1:6" ht="15" customHeight="1" x14ac:dyDescent="0.3">
      <c r="A52" t="s">
        <v>181</v>
      </c>
      <c r="B52" t="s">
        <v>205</v>
      </c>
      <c r="C52">
        <v>2023</v>
      </c>
      <c r="D52" t="s">
        <v>352</v>
      </c>
      <c r="E52" t="s">
        <v>353</v>
      </c>
      <c r="F52" t="s">
        <v>354</v>
      </c>
    </row>
    <row r="53" spans="1:6" ht="15" customHeight="1" x14ac:dyDescent="0.3">
      <c r="A53" t="s">
        <v>183</v>
      </c>
      <c r="B53" t="s">
        <v>205</v>
      </c>
      <c r="C53">
        <v>2024</v>
      </c>
      <c r="D53" t="s">
        <v>355</v>
      </c>
      <c r="E53" t="s">
        <v>356</v>
      </c>
      <c r="F53" t="s">
        <v>357</v>
      </c>
    </row>
    <row r="54" spans="1:6" ht="15" customHeight="1" x14ac:dyDescent="0.3">
      <c r="A54" t="s">
        <v>186</v>
      </c>
      <c r="B54" t="s">
        <v>203</v>
      </c>
      <c r="C54">
        <v>2024</v>
      </c>
      <c r="D54" t="s">
        <v>358</v>
      </c>
      <c r="E54" t="s">
        <v>359</v>
      </c>
      <c r="F54" t="s">
        <v>360</v>
      </c>
    </row>
    <row r="55" spans="1:6" ht="15" customHeight="1" x14ac:dyDescent="0.3">
      <c r="A55" t="s">
        <v>193</v>
      </c>
      <c r="B55" t="s">
        <v>208</v>
      </c>
      <c r="C55">
        <v>2024</v>
      </c>
      <c r="D55" t="s">
        <v>361</v>
      </c>
      <c r="E55" t="s">
        <v>362</v>
      </c>
      <c r="F55" t="s">
        <v>363</v>
      </c>
    </row>
    <row r="56" spans="1:6" ht="15" customHeight="1" x14ac:dyDescent="0.3">
      <c r="A56" t="s">
        <v>193</v>
      </c>
      <c r="B56" t="s">
        <v>209</v>
      </c>
      <c r="C56">
        <v>2024</v>
      </c>
      <c r="D56" t="s">
        <v>364</v>
      </c>
      <c r="E56" t="s">
        <v>362</v>
      </c>
      <c r="F56" t="s">
        <v>363</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9"/>
  <sheetViews>
    <sheetView zoomScaleNormal="100" workbookViewId="0"/>
  </sheetViews>
  <sheetFormatPr defaultColWidth="8.6640625" defaultRowHeight="14.4" x14ac:dyDescent="0.3"/>
  <cols>
    <col min="1" max="1" width="34" customWidth="1"/>
    <col min="2" max="2" width="110" customWidth="1"/>
  </cols>
  <sheetData>
    <row r="1" spans="1:2" ht="15" customHeight="1" x14ac:dyDescent="0.3">
      <c r="A1" s="4" t="s">
        <v>365</v>
      </c>
      <c r="B1" s="3"/>
    </row>
    <row r="2" spans="1:2" ht="15" customHeight="1" x14ac:dyDescent="0.3">
      <c r="A2" s="4" t="s">
        <v>366</v>
      </c>
      <c r="B2" s="3"/>
    </row>
    <row r="3" spans="1:2" ht="15" customHeight="1" x14ac:dyDescent="0.3">
      <c r="A3" s="4" t="s">
        <v>367</v>
      </c>
      <c r="B3" s="3" t="s">
        <v>368</v>
      </c>
    </row>
    <row r="4" spans="1:2" ht="15" customHeight="1" x14ac:dyDescent="0.3">
      <c r="A4" s="4" t="s">
        <v>369</v>
      </c>
      <c r="B4" s="3" t="s">
        <v>370</v>
      </c>
    </row>
    <row r="5" spans="1:2" ht="27.75" customHeight="1" x14ac:dyDescent="0.3">
      <c r="A5" s="4" t="s">
        <v>371</v>
      </c>
      <c r="B5" s="3" t="s">
        <v>372</v>
      </c>
    </row>
    <row r="6" spans="1:2" ht="15" customHeight="1" x14ac:dyDescent="0.3">
      <c r="A6" s="4" t="s">
        <v>373</v>
      </c>
      <c r="B6" s="3" t="s">
        <v>374</v>
      </c>
    </row>
    <row r="7" spans="1:2" ht="27.75" customHeight="1" x14ac:dyDescent="0.3">
      <c r="A7" s="4" t="s">
        <v>375</v>
      </c>
      <c r="B7" s="3" t="s">
        <v>376</v>
      </c>
    </row>
    <row r="8" spans="1:2" ht="15" customHeight="1" x14ac:dyDescent="0.3">
      <c r="A8" s="4"/>
      <c r="B8" s="3"/>
    </row>
    <row r="9" spans="1:2" ht="27.75" customHeight="1" x14ac:dyDescent="0.3">
      <c r="A9" s="4" t="s">
        <v>377</v>
      </c>
      <c r="B9" s="3" t="s">
        <v>378</v>
      </c>
    </row>
    <row r="10" spans="1:2" ht="27.75" customHeight="1" x14ac:dyDescent="0.3">
      <c r="A10" s="4" t="s">
        <v>379</v>
      </c>
      <c r="B10" s="3" t="s">
        <v>380</v>
      </c>
    </row>
    <row r="11" spans="1:2" ht="27.75" customHeight="1" x14ac:dyDescent="0.3">
      <c r="A11" s="4" t="s">
        <v>381</v>
      </c>
      <c r="B11" s="3" t="s">
        <v>382</v>
      </c>
    </row>
    <row r="12" spans="1:2" ht="27.75" customHeight="1" x14ac:dyDescent="0.3">
      <c r="A12" s="4" t="s">
        <v>383</v>
      </c>
      <c r="B12" s="3" t="s">
        <v>384</v>
      </c>
    </row>
    <row r="13" spans="1:2" ht="15" customHeight="1" x14ac:dyDescent="0.3">
      <c r="A13" s="4" t="s">
        <v>385</v>
      </c>
      <c r="B13" s="3" t="s">
        <v>386</v>
      </c>
    </row>
    <row r="14" spans="1:2" ht="15" customHeight="1" x14ac:dyDescent="0.3">
      <c r="A14" s="4" t="s">
        <v>387</v>
      </c>
      <c r="B14" s="3"/>
    </row>
    <row r="15" spans="1:2" ht="15" customHeight="1" x14ac:dyDescent="0.3">
      <c r="A15" s="4" t="s">
        <v>388</v>
      </c>
      <c r="B15" s="3" t="s">
        <v>389</v>
      </c>
    </row>
    <row r="16" spans="1:2" ht="15" customHeight="1" x14ac:dyDescent="0.3">
      <c r="A16" s="4" t="s">
        <v>390</v>
      </c>
      <c r="B16" s="3" t="s">
        <v>391</v>
      </c>
    </row>
    <row r="17" spans="1:2" ht="27.75" customHeight="1" x14ac:dyDescent="0.3">
      <c r="A17" s="4" t="s">
        <v>392</v>
      </c>
      <c r="B17" s="3" t="s">
        <v>393</v>
      </c>
    </row>
    <row r="18" spans="1:2" ht="15" customHeight="1" x14ac:dyDescent="0.3">
      <c r="A18" s="4"/>
      <c r="B18" s="3"/>
    </row>
    <row r="19" spans="1:2" ht="41.25" customHeight="1" x14ac:dyDescent="0.3">
      <c r="A19" s="4" t="s">
        <v>394</v>
      </c>
      <c r="B19" s="3" t="s">
        <v>395</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8"/>
  <sheetViews>
    <sheetView zoomScaleNormal="100" workbookViewId="0">
      <pane ySplit="1" topLeftCell="A2" activePane="bottomLeft" state="frozen"/>
      <selection pane="bottomLeft"/>
    </sheetView>
  </sheetViews>
  <sheetFormatPr defaultColWidth="8.6640625" defaultRowHeight="14.4" x14ac:dyDescent="0.3"/>
  <cols>
    <col min="1" max="1" width="10" customWidth="1"/>
    <col min="2" max="2" width="20" customWidth="1"/>
    <col min="3" max="4" width="21" customWidth="1"/>
  </cols>
  <sheetData>
    <row r="1" spans="1:4" ht="15" customHeight="1" x14ac:dyDescent="0.3">
      <c r="A1" s="9" t="s">
        <v>396</v>
      </c>
      <c r="B1" s="9" t="s">
        <v>397</v>
      </c>
      <c r="C1" s="9" t="s">
        <v>398</v>
      </c>
      <c r="D1" s="9" t="s">
        <v>399</v>
      </c>
    </row>
    <row r="2" spans="1:4" ht="15" customHeight="1" x14ac:dyDescent="0.3">
      <c r="A2" t="s">
        <v>203</v>
      </c>
      <c r="B2">
        <v>0.5</v>
      </c>
      <c r="C2">
        <v>2.0299999999999998</v>
      </c>
      <c r="D2">
        <v>4</v>
      </c>
    </row>
    <row r="3" spans="1:4" ht="15" customHeight="1" x14ac:dyDescent="0.3">
      <c r="A3" t="s">
        <v>204</v>
      </c>
      <c r="B3">
        <v>0.47</v>
      </c>
      <c r="C3">
        <v>1.1399999999999999</v>
      </c>
      <c r="D3">
        <v>3.1440000000000001</v>
      </c>
    </row>
    <row r="4" spans="1:4" ht="15" customHeight="1" x14ac:dyDescent="0.3">
      <c r="A4" t="s">
        <v>205</v>
      </c>
      <c r="B4">
        <v>0.96199999999999997</v>
      </c>
      <c r="C4">
        <v>2.85</v>
      </c>
      <c r="D4">
        <v>4</v>
      </c>
    </row>
    <row r="5" spans="1:4" ht="15" customHeight="1" x14ac:dyDescent="0.3">
      <c r="A5" t="s">
        <v>206</v>
      </c>
      <c r="B5">
        <v>0.69399999999999995</v>
      </c>
      <c r="C5">
        <v>1.9</v>
      </c>
      <c r="D5">
        <v>3.47</v>
      </c>
    </row>
    <row r="6" spans="1:4" ht="15" customHeight="1" x14ac:dyDescent="0.3">
      <c r="A6" t="s">
        <v>207</v>
      </c>
      <c r="B6">
        <v>0.94199999999999995</v>
      </c>
      <c r="C6">
        <v>2.36</v>
      </c>
      <c r="D6">
        <v>4</v>
      </c>
    </row>
    <row r="7" spans="1:4" ht="15" customHeight="1" x14ac:dyDescent="0.3">
      <c r="A7" t="s">
        <v>208</v>
      </c>
      <c r="B7">
        <v>0.79400000000000004</v>
      </c>
      <c r="C7">
        <v>1.93</v>
      </c>
      <c r="D7">
        <v>4</v>
      </c>
    </row>
    <row r="8" spans="1:4" ht="15" customHeight="1" x14ac:dyDescent="0.3">
      <c r="A8" t="s">
        <v>209</v>
      </c>
      <c r="B8">
        <v>0.96</v>
      </c>
      <c r="C8">
        <v>2.4300000000000002</v>
      </c>
      <c r="D8">
        <v>3.7559999999999998</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06"/>
  <sheetViews>
    <sheetView zoomScaleNormal="100" workbookViewId="0">
      <pane ySplit="1" topLeftCell="A2" activePane="bottomLeft" state="frozen"/>
      <selection pane="bottomLeft"/>
    </sheetView>
  </sheetViews>
  <sheetFormatPr defaultColWidth="8.6640625" defaultRowHeight="14.4" x14ac:dyDescent="0.3"/>
  <cols>
    <col min="1" max="1" width="40" customWidth="1"/>
    <col min="2" max="2" width="13" customWidth="1"/>
    <col min="3" max="5" width="10" customWidth="1"/>
    <col min="6" max="7" width="11" customWidth="1"/>
    <col min="8" max="8" width="12" customWidth="1"/>
    <col min="9" max="9" width="11" customWidth="1"/>
    <col min="10" max="10" width="10" customWidth="1"/>
  </cols>
  <sheetData>
    <row r="1" spans="1:10" ht="15" customHeight="1" x14ac:dyDescent="0.3">
      <c r="A1" s="9" t="s">
        <v>79</v>
      </c>
      <c r="B1" s="9" t="s">
        <v>80</v>
      </c>
      <c r="C1" s="9" t="s">
        <v>198</v>
      </c>
      <c r="D1" s="9" t="s">
        <v>400</v>
      </c>
      <c r="E1" s="9" t="s">
        <v>401</v>
      </c>
      <c r="F1" s="9" t="s">
        <v>402</v>
      </c>
      <c r="G1" s="9" t="s">
        <v>403</v>
      </c>
      <c r="H1" s="9" t="s">
        <v>404</v>
      </c>
      <c r="I1" s="9" t="s">
        <v>405</v>
      </c>
      <c r="J1" s="9" t="s">
        <v>406</v>
      </c>
    </row>
    <row r="2" spans="1:10" ht="15" customHeight="1" x14ac:dyDescent="0.3">
      <c r="A2" t="s">
        <v>186</v>
      </c>
      <c r="B2" t="s">
        <v>187</v>
      </c>
      <c r="C2">
        <v>2023</v>
      </c>
      <c r="D2">
        <v>0.59234299999999995</v>
      </c>
      <c r="E2">
        <v>3.7253000000000001E-2</v>
      </c>
      <c r="F2">
        <v>0.14846400000000001</v>
      </c>
      <c r="G2">
        <v>0.27356799999999998</v>
      </c>
      <c r="H2">
        <v>3.2779000000000003E-2</v>
      </c>
      <c r="I2">
        <v>0.143265</v>
      </c>
      <c r="J2">
        <v>0.16764399999999999</v>
      </c>
    </row>
    <row r="3" spans="1:10" ht="15" customHeight="1" x14ac:dyDescent="0.3">
      <c r="A3" t="s">
        <v>186</v>
      </c>
      <c r="B3" t="s">
        <v>187</v>
      </c>
      <c r="C3">
        <v>2024</v>
      </c>
      <c r="D3">
        <v>0.81899999999999995</v>
      </c>
      <c r="E3">
        <v>0.24184</v>
      </c>
      <c r="F3">
        <v>0.162801</v>
      </c>
      <c r="G3">
        <v>0.46344299999999999</v>
      </c>
      <c r="H3">
        <v>4.7874E-2</v>
      </c>
      <c r="I3">
        <v>6.3232999999999998E-2</v>
      </c>
      <c r="J3">
        <v>0.242004</v>
      </c>
    </row>
    <row r="4" spans="1:10" ht="15" customHeight="1" x14ac:dyDescent="0.3">
      <c r="A4" t="s">
        <v>186</v>
      </c>
      <c r="B4" t="s">
        <v>187</v>
      </c>
      <c r="C4">
        <v>2025</v>
      </c>
      <c r="D4">
        <v>0.83399500000000004</v>
      </c>
      <c r="E4">
        <v>0.43445899999999998</v>
      </c>
      <c r="F4">
        <v>0.223108</v>
      </c>
      <c r="G4">
        <v>0.737205</v>
      </c>
      <c r="H4">
        <v>8.5709999999999995E-2</v>
      </c>
      <c r="I4">
        <v>0.29831400000000002</v>
      </c>
      <c r="J4">
        <v>0.36335200000000001</v>
      </c>
    </row>
    <row r="5" spans="1:10" ht="15" customHeight="1" x14ac:dyDescent="0.3">
      <c r="A5" t="s">
        <v>154</v>
      </c>
      <c r="B5" t="s">
        <v>155</v>
      </c>
      <c r="C5">
        <v>2023</v>
      </c>
      <c r="D5">
        <v>0.27643099999999998</v>
      </c>
      <c r="E5">
        <v>8.1879999999999994E-2</v>
      </c>
      <c r="F5">
        <v>0.47273500000000002</v>
      </c>
      <c r="G5">
        <v>0.34642600000000001</v>
      </c>
      <c r="H5">
        <v>0.89774500000000002</v>
      </c>
      <c r="I5">
        <v>0.57412700000000005</v>
      </c>
      <c r="J5">
        <v>0.78000700000000001</v>
      </c>
    </row>
    <row r="6" spans="1:10" ht="15" customHeight="1" x14ac:dyDescent="0.3">
      <c r="A6" t="s">
        <v>154</v>
      </c>
      <c r="B6" t="s">
        <v>155</v>
      </c>
      <c r="C6">
        <v>2024</v>
      </c>
      <c r="D6">
        <v>0.50747299999999995</v>
      </c>
      <c r="E6">
        <v>0.44528600000000002</v>
      </c>
      <c r="F6">
        <v>0.67754499999999995</v>
      </c>
      <c r="G6">
        <v>0.55602700000000005</v>
      </c>
      <c r="H6">
        <v>0.95</v>
      </c>
      <c r="I6">
        <v>0.44834600000000002</v>
      </c>
      <c r="J6">
        <v>0.74801700000000004</v>
      </c>
    </row>
    <row r="7" spans="1:10" ht="15" customHeight="1" x14ac:dyDescent="0.3">
      <c r="A7" t="s">
        <v>154</v>
      </c>
      <c r="B7" t="s">
        <v>155</v>
      </c>
      <c r="C7">
        <v>2025</v>
      </c>
      <c r="D7">
        <v>0.447274</v>
      </c>
      <c r="E7">
        <v>0.57653100000000002</v>
      </c>
      <c r="F7">
        <v>0.64896500000000001</v>
      </c>
      <c r="G7">
        <v>0.56526600000000005</v>
      </c>
      <c r="H7">
        <v>0.95</v>
      </c>
      <c r="I7">
        <v>0.62861999999999996</v>
      </c>
      <c r="J7">
        <v>0.85248500000000005</v>
      </c>
    </row>
    <row r="8" spans="1:10" ht="15" customHeight="1" x14ac:dyDescent="0.3">
      <c r="A8" t="s">
        <v>92</v>
      </c>
      <c r="B8" t="s">
        <v>93</v>
      </c>
      <c r="C8">
        <v>2023</v>
      </c>
      <c r="D8">
        <v>0.88264900000000002</v>
      </c>
      <c r="E8">
        <v>0.91530800000000001</v>
      </c>
      <c r="F8">
        <v>0.55102899999999999</v>
      </c>
      <c r="G8">
        <v>0.48779499999999998</v>
      </c>
      <c r="H8">
        <v>0.61036500000000005</v>
      </c>
      <c r="I8">
        <v>0.44834600000000002</v>
      </c>
      <c r="J8">
        <v>0.78379399999999999</v>
      </c>
    </row>
    <row r="9" spans="1:10" ht="15" customHeight="1" x14ac:dyDescent="0.3">
      <c r="A9" t="s">
        <v>92</v>
      </c>
      <c r="B9" t="s">
        <v>93</v>
      </c>
      <c r="C9">
        <v>2024</v>
      </c>
      <c r="D9">
        <v>0.95</v>
      </c>
      <c r="E9">
        <v>0.91300199999999998</v>
      </c>
      <c r="F9">
        <v>0.67192600000000002</v>
      </c>
      <c r="G9">
        <v>0.56526600000000005</v>
      </c>
      <c r="H9">
        <v>0.79060699999999995</v>
      </c>
      <c r="I9">
        <v>0.48057</v>
      </c>
      <c r="J9">
        <v>0.85798300000000005</v>
      </c>
    </row>
    <row r="10" spans="1:10" ht="15" customHeight="1" x14ac:dyDescent="0.3">
      <c r="A10" t="s">
        <v>92</v>
      </c>
      <c r="B10" t="s">
        <v>93</v>
      </c>
      <c r="C10">
        <v>2025</v>
      </c>
      <c r="D10">
        <v>0.95</v>
      </c>
      <c r="E10">
        <v>0.95376700000000003</v>
      </c>
      <c r="F10">
        <v>0.77809300000000003</v>
      </c>
      <c r="G10">
        <v>0.75496399999999997</v>
      </c>
      <c r="H10">
        <v>0.79060699999999995</v>
      </c>
      <c r="I10">
        <v>0.64506600000000003</v>
      </c>
      <c r="J10">
        <v>0.90207899999999996</v>
      </c>
    </row>
    <row r="11" spans="1:10" ht="15" customHeight="1" x14ac:dyDescent="0.3">
      <c r="A11" t="s">
        <v>118</v>
      </c>
      <c r="B11" t="s">
        <v>119</v>
      </c>
      <c r="C11">
        <v>2023</v>
      </c>
      <c r="D11">
        <v>5.6800999999999997E-2</v>
      </c>
      <c r="E11">
        <v>0.108182</v>
      </c>
      <c r="F11">
        <v>0.49610100000000001</v>
      </c>
      <c r="G11">
        <v>0.33545399999999997</v>
      </c>
      <c r="H11">
        <v>0.19266800000000001</v>
      </c>
      <c r="I11">
        <v>0.501</v>
      </c>
      <c r="J11">
        <v>0.68026399999999998</v>
      </c>
    </row>
    <row r="12" spans="1:10" ht="15" customHeight="1" x14ac:dyDescent="0.3">
      <c r="A12" t="s">
        <v>118</v>
      </c>
      <c r="B12" t="s">
        <v>119</v>
      </c>
      <c r="C12">
        <v>2024</v>
      </c>
      <c r="D12">
        <v>0.13392000000000001</v>
      </c>
      <c r="E12">
        <v>0.24998899999999999</v>
      </c>
      <c r="F12">
        <v>0.512799</v>
      </c>
      <c r="G12">
        <v>0.537439</v>
      </c>
      <c r="H12">
        <v>0.35860799999999998</v>
      </c>
      <c r="I12">
        <v>0.51066699999999998</v>
      </c>
      <c r="J12">
        <v>0.73090999999999995</v>
      </c>
    </row>
    <row r="13" spans="1:10" ht="15" customHeight="1" x14ac:dyDescent="0.3">
      <c r="A13" t="s">
        <v>118</v>
      </c>
      <c r="B13" t="s">
        <v>119</v>
      </c>
      <c r="C13">
        <v>2025</v>
      </c>
      <c r="D13">
        <v>0.20951</v>
      </c>
      <c r="E13">
        <v>0.56212200000000001</v>
      </c>
      <c r="F13">
        <v>0.61321999999999999</v>
      </c>
      <c r="G13">
        <v>0.78164800000000001</v>
      </c>
      <c r="H13">
        <v>0.47406700000000002</v>
      </c>
      <c r="I13">
        <v>0.67066999999999999</v>
      </c>
      <c r="J13">
        <v>0.85248500000000005</v>
      </c>
    </row>
    <row r="14" spans="1:10" ht="15" customHeight="1" x14ac:dyDescent="0.3">
      <c r="A14" t="s">
        <v>109</v>
      </c>
      <c r="B14" t="s">
        <v>110</v>
      </c>
      <c r="C14">
        <v>2023</v>
      </c>
      <c r="D14">
        <v>0.30416900000000002</v>
      </c>
      <c r="E14">
        <v>0.14163000000000001</v>
      </c>
      <c r="F14">
        <v>0.55102899999999999</v>
      </c>
      <c r="G14">
        <v>0.61066399999999998</v>
      </c>
      <c r="H14">
        <v>0.86613499999999999</v>
      </c>
      <c r="I14">
        <v>0.45476499999999997</v>
      </c>
      <c r="J14">
        <v>0.73955499999999996</v>
      </c>
    </row>
    <row r="15" spans="1:10" ht="15" customHeight="1" x14ac:dyDescent="0.3">
      <c r="A15" t="s">
        <v>109</v>
      </c>
      <c r="B15" t="s">
        <v>110</v>
      </c>
      <c r="C15">
        <v>2024</v>
      </c>
      <c r="D15">
        <v>0.49518899999999999</v>
      </c>
      <c r="E15">
        <v>0.35086099999999998</v>
      </c>
      <c r="F15">
        <v>0.52558099999999996</v>
      </c>
      <c r="G15">
        <v>0.52810199999999996</v>
      </c>
      <c r="H15">
        <v>0.94555999999999996</v>
      </c>
      <c r="I15">
        <v>0.44834600000000002</v>
      </c>
      <c r="J15">
        <v>0.79122499999999996</v>
      </c>
    </row>
    <row r="16" spans="1:10" ht="15" customHeight="1" x14ac:dyDescent="0.3">
      <c r="A16" t="s">
        <v>109</v>
      </c>
      <c r="B16" t="s">
        <v>110</v>
      </c>
      <c r="C16">
        <v>2025</v>
      </c>
      <c r="D16">
        <v>0.54471899999999995</v>
      </c>
      <c r="E16">
        <v>0.59435899999999997</v>
      </c>
      <c r="F16">
        <v>0.75044100000000002</v>
      </c>
      <c r="G16">
        <v>0.81196699999999999</v>
      </c>
      <c r="H16">
        <v>0.93974100000000005</v>
      </c>
      <c r="I16">
        <v>0.62861999999999996</v>
      </c>
      <c r="J16">
        <v>0.88522800000000001</v>
      </c>
    </row>
    <row r="17" spans="1:10" ht="15" customHeight="1" x14ac:dyDescent="0.3">
      <c r="A17" t="s">
        <v>97</v>
      </c>
      <c r="B17" t="s">
        <v>98</v>
      </c>
      <c r="C17">
        <v>2023</v>
      </c>
      <c r="D17">
        <v>0.74858599999999997</v>
      </c>
      <c r="E17">
        <v>1.3298000000000001E-2</v>
      </c>
      <c r="F17">
        <v>0.50640099999999999</v>
      </c>
      <c r="G17">
        <v>0.43325999999999998</v>
      </c>
      <c r="H17">
        <v>0.34911300000000001</v>
      </c>
      <c r="I17">
        <v>3.9616999999999999E-2</v>
      </c>
      <c r="J17">
        <v>0.182088</v>
      </c>
    </row>
    <row r="18" spans="1:10" ht="15" customHeight="1" x14ac:dyDescent="0.3">
      <c r="A18" t="s">
        <v>97</v>
      </c>
      <c r="B18" t="s">
        <v>98</v>
      </c>
      <c r="C18">
        <v>2024</v>
      </c>
      <c r="D18">
        <v>0.78336600000000001</v>
      </c>
      <c r="E18">
        <v>0.29339799999999999</v>
      </c>
      <c r="F18">
        <v>0.637212</v>
      </c>
      <c r="G18">
        <v>0.60619599999999996</v>
      </c>
      <c r="H18">
        <v>0.373058</v>
      </c>
      <c r="I18">
        <v>6.7998000000000003E-2</v>
      </c>
      <c r="J18">
        <v>0.24942900000000001</v>
      </c>
    </row>
    <row r="19" spans="1:10" ht="15" customHeight="1" x14ac:dyDescent="0.3">
      <c r="A19" t="s">
        <v>97</v>
      </c>
      <c r="B19" t="s">
        <v>98</v>
      </c>
      <c r="C19">
        <v>2025</v>
      </c>
      <c r="D19">
        <v>0.89999099999999999</v>
      </c>
      <c r="E19">
        <v>0.52935200000000004</v>
      </c>
      <c r="F19">
        <v>0.75520500000000002</v>
      </c>
      <c r="G19">
        <v>0.69135000000000002</v>
      </c>
      <c r="H19">
        <v>0.51794600000000002</v>
      </c>
      <c r="I19">
        <v>0.14011299999999999</v>
      </c>
      <c r="J19">
        <v>0.50555099999999997</v>
      </c>
    </row>
    <row r="20" spans="1:10" ht="15" customHeight="1" x14ac:dyDescent="0.3">
      <c r="A20" t="s">
        <v>178</v>
      </c>
      <c r="B20" t="s">
        <v>179</v>
      </c>
      <c r="C20">
        <v>2023</v>
      </c>
      <c r="D20">
        <v>7.5731000000000007E-2</v>
      </c>
      <c r="E20">
        <v>6.6807000000000005E-2</v>
      </c>
      <c r="F20">
        <v>0.119599</v>
      </c>
      <c r="G20">
        <v>4.8401E-2</v>
      </c>
      <c r="H20">
        <v>5.9429000000000003E-2</v>
      </c>
      <c r="I20">
        <v>5.4622999999999998E-2</v>
      </c>
      <c r="J20">
        <v>5.8184E-2</v>
      </c>
    </row>
    <row r="21" spans="1:10" ht="15" customHeight="1" x14ac:dyDescent="0.3">
      <c r="A21" t="s">
        <v>178</v>
      </c>
      <c r="B21" t="s">
        <v>179</v>
      </c>
      <c r="C21">
        <v>2024</v>
      </c>
      <c r="D21">
        <v>0.145479</v>
      </c>
      <c r="E21">
        <v>0.33111400000000002</v>
      </c>
      <c r="F21">
        <v>0.150446</v>
      </c>
      <c r="G21">
        <v>9.5680000000000001E-2</v>
      </c>
      <c r="H21">
        <v>7.2153999999999996E-2</v>
      </c>
      <c r="I21">
        <v>0.17064199999999999</v>
      </c>
      <c r="J21">
        <v>4.7222E-2</v>
      </c>
    </row>
    <row r="22" spans="1:10" ht="15" customHeight="1" x14ac:dyDescent="0.3">
      <c r="A22" t="s">
        <v>178</v>
      </c>
      <c r="B22" t="s">
        <v>179</v>
      </c>
      <c r="C22">
        <v>2025</v>
      </c>
      <c r="D22">
        <v>0.30825799999999998</v>
      </c>
      <c r="E22">
        <v>0.501</v>
      </c>
      <c r="F22">
        <v>0.128057</v>
      </c>
      <c r="G22">
        <v>0.25459399999999999</v>
      </c>
      <c r="H22">
        <v>8.5709999999999995E-2</v>
      </c>
      <c r="I22">
        <v>0.18193000000000001</v>
      </c>
      <c r="J22">
        <v>0.112734</v>
      </c>
    </row>
    <row r="23" spans="1:10" ht="15" customHeight="1" x14ac:dyDescent="0.3">
      <c r="A23" t="s">
        <v>193</v>
      </c>
      <c r="B23" t="s">
        <v>194</v>
      </c>
      <c r="C23">
        <v>2023</v>
      </c>
      <c r="D23">
        <v>6.6823999999999995E-2</v>
      </c>
      <c r="E23">
        <v>7.5509999999999994E-2</v>
      </c>
      <c r="F23">
        <v>5.2891000000000001E-2</v>
      </c>
      <c r="G23">
        <v>4.5136999999999997E-2</v>
      </c>
      <c r="H23">
        <v>5.9429000000000003E-2</v>
      </c>
      <c r="I23">
        <v>0.73578100000000002</v>
      </c>
      <c r="J23">
        <v>0.51110100000000003</v>
      </c>
    </row>
    <row r="24" spans="1:10" ht="15" customHeight="1" x14ac:dyDescent="0.3">
      <c r="A24" t="s">
        <v>193</v>
      </c>
      <c r="B24" t="s">
        <v>194</v>
      </c>
      <c r="C24">
        <v>2024</v>
      </c>
      <c r="D24">
        <v>0.105631</v>
      </c>
      <c r="E24">
        <v>0.35086099999999998</v>
      </c>
      <c r="F24">
        <v>4.0468999999999998E-2</v>
      </c>
      <c r="G24">
        <v>9.1537999999999994E-2</v>
      </c>
      <c r="H24">
        <v>7.2153999999999996E-2</v>
      </c>
      <c r="I24">
        <v>0.83304299999999998</v>
      </c>
      <c r="J24">
        <v>0.80897300000000005</v>
      </c>
    </row>
    <row r="25" spans="1:10" ht="15" customHeight="1" x14ac:dyDescent="0.3">
      <c r="A25" t="s">
        <v>193</v>
      </c>
      <c r="B25" t="s">
        <v>194</v>
      </c>
      <c r="C25">
        <v>2025</v>
      </c>
      <c r="D25">
        <v>0.22589100000000001</v>
      </c>
      <c r="E25">
        <v>0.51101799999999997</v>
      </c>
      <c r="F25">
        <v>0.110092</v>
      </c>
      <c r="G25">
        <v>0.10446999999999999</v>
      </c>
      <c r="H25">
        <v>0.13129099999999999</v>
      </c>
      <c r="I25">
        <v>0.84457800000000005</v>
      </c>
      <c r="J25">
        <v>0.71308700000000003</v>
      </c>
    </row>
    <row r="26" spans="1:10" ht="15" customHeight="1" x14ac:dyDescent="0.3">
      <c r="A26" t="s">
        <v>134</v>
      </c>
      <c r="B26" t="s">
        <v>135</v>
      </c>
      <c r="C26">
        <v>2023</v>
      </c>
      <c r="D26">
        <v>0.21271499999999999</v>
      </c>
      <c r="E26">
        <v>0.21849499999999999</v>
      </c>
      <c r="F26">
        <v>0.21510399999999999</v>
      </c>
      <c r="G26">
        <v>0.36319000000000001</v>
      </c>
      <c r="H26">
        <v>0.234407</v>
      </c>
      <c r="I26">
        <v>0.93718100000000004</v>
      </c>
      <c r="J26">
        <v>0.93354400000000004</v>
      </c>
    </row>
    <row r="27" spans="1:10" ht="15" customHeight="1" x14ac:dyDescent="0.3">
      <c r="A27" t="s">
        <v>134</v>
      </c>
      <c r="B27" t="s">
        <v>135</v>
      </c>
      <c r="C27">
        <v>2024</v>
      </c>
      <c r="D27">
        <v>0.42832900000000002</v>
      </c>
      <c r="E27">
        <v>0.51101799999999997</v>
      </c>
      <c r="F27">
        <v>0.21248300000000001</v>
      </c>
      <c r="G27">
        <v>0.61511400000000005</v>
      </c>
      <c r="H27">
        <v>0.34440900000000002</v>
      </c>
      <c r="I27">
        <v>0.92920899999999995</v>
      </c>
      <c r="J27">
        <v>0.97029399999999999</v>
      </c>
    </row>
    <row r="28" spans="1:10" ht="15" customHeight="1" x14ac:dyDescent="0.3">
      <c r="A28" t="s">
        <v>134</v>
      </c>
      <c r="B28" t="s">
        <v>135</v>
      </c>
      <c r="C28">
        <v>2025</v>
      </c>
      <c r="D28">
        <v>0.57418000000000002</v>
      </c>
      <c r="E28">
        <v>0.58725499999999997</v>
      </c>
      <c r="F28">
        <v>0.34537800000000002</v>
      </c>
      <c r="G28">
        <v>0.67098999999999998</v>
      </c>
      <c r="H28">
        <v>0.41265499999999999</v>
      </c>
      <c r="I28">
        <v>0.95</v>
      </c>
      <c r="J28">
        <v>0.97029399999999999</v>
      </c>
    </row>
    <row r="29" spans="1:10" ht="15" customHeight="1" x14ac:dyDescent="0.3">
      <c r="A29" t="s">
        <v>183</v>
      </c>
      <c r="B29" t="s">
        <v>184</v>
      </c>
      <c r="C29">
        <v>2023</v>
      </c>
      <c r="D29">
        <v>2.4705000000000001E-2</v>
      </c>
      <c r="E29">
        <v>5.9041999999999997E-2</v>
      </c>
      <c r="F29">
        <v>0.40750399999999998</v>
      </c>
      <c r="G29">
        <v>8.0062999999999995E-2</v>
      </c>
      <c r="H29">
        <v>2.7902E-2</v>
      </c>
      <c r="I29">
        <v>0.37931199999999998</v>
      </c>
      <c r="J29">
        <v>2.3531E-2</v>
      </c>
    </row>
    <row r="30" spans="1:10" ht="15" customHeight="1" x14ac:dyDescent="0.3">
      <c r="A30" t="s">
        <v>183</v>
      </c>
      <c r="B30" t="s">
        <v>184</v>
      </c>
      <c r="C30">
        <v>2024</v>
      </c>
      <c r="D30">
        <v>0.15032899999999999</v>
      </c>
      <c r="E30">
        <v>0.38144600000000001</v>
      </c>
      <c r="F30">
        <v>0.63127299999999997</v>
      </c>
      <c r="G30">
        <v>8.1879999999999994E-2</v>
      </c>
      <c r="H30">
        <v>5.9429000000000003E-2</v>
      </c>
      <c r="I30">
        <v>0.57760199999999995</v>
      </c>
      <c r="J30">
        <v>7.1500999999999995E-2</v>
      </c>
    </row>
    <row r="31" spans="1:10" ht="15" customHeight="1" x14ac:dyDescent="0.3">
      <c r="A31" t="s">
        <v>183</v>
      </c>
      <c r="B31" t="s">
        <v>184</v>
      </c>
      <c r="C31">
        <v>2025</v>
      </c>
      <c r="D31">
        <v>0.107463</v>
      </c>
      <c r="E31">
        <v>0.50367300000000004</v>
      </c>
      <c r="F31">
        <v>0.55102899999999999</v>
      </c>
      <c r="G31">
        <v>0.34091900000000003</v>
      </c>
      <c r="H31">
        <v>6.6786999999999999E-2</v>
      </c>
      <c r="I31">
        <v>0.53196100000000002</v>
      </c>
      <c r="J31">
        <v>5.9291999999999997E-2</v>
      </c>
    </row>
    <row r="32" spans="1:10" ht="15" customHeight="1" x14ac:dyDescent="0.3">
      <c r="A32" t="s">
        <v>158</v>
      </c>
      <c r="B32" t="s">
        <v>159</v>
      </c>
      <c r="C32">
        <v>2023</v>
      </c>
      <c r="D32">
        <v>0.64858000000000005</v>
      </c>
      <c r="E32">
        <v>0.21108399999999999</v>
      </c>
      <c r="F32">
        <v>3.0407E-2</v>
      </c>
      <c r="G32">
        <v>9.5680000000000001E-2</v>
      </c>
      <c r="H32">
        <v>0.26551999999999998</v>
      </c>
      <c r="I32">
        <v>0.80348299999999995</v>
      </c>
      <c r="J32">
        <v>0.11680400000000001</v>
      </c>
    </row>
    <row r="33" spans="1:10" ht="15" customHeight="1" x14ac:dyDescent="0.3">
      <c r="A33" t="s">
        <v>158</v>
      </c>
      <c r="B33" t="s">
        <v>159</v>
      </c>
      <c r="C33">
        <v>2024</v>
      </c>
      <c r="D33">
        <v>0.81225800000000004</v>
      </c>
      <c r="E33">
        <v>0.21849499999999999</v>
      </c>
      <c r="F33">
        <v>4.9119000000000003E-2</v>
      </c>
      <c r="G33">
        <v>0.124206</v>
      </c>
      <c r="H33">
        <v>0.34440900000000002</v>
      </c>
      <c r="I33">
        <v>0.81873200000000002</v>
      </c>
      <c r="J33">
        <v>0.25319799999999998</v>
      </c>
    </row>
    <row r="34" spans="1:10" ht="15" customHeight="1" x14ac:dyDescent="0.3">
      <c r="A34" t="s">
        <v>158</v>
      </c>
      <c r="B34" t="s">
        <v>159</v>
      </c>
      <c r="C34">
        <v>2025</v>
      </c>
      <c r="D34">
        <v>0.87303699999999995</v>
      </c>
      <c r="E34">
        <v>0.62580199999999997</v>
      </c>
      <c r="F34">
        <v>7.6189000000000007E-2</v>
      </c>
      <c r="G34">
        <v>0.33003399999999999</v>
      </c>
      <c r="H34">
        <v>0.50448800000000005</v>
      </c>
      <c r="I34">
        <v>0.86733700000000002</v>
      </c>
      <c r="J34">
        <v>0.26472800000000002</v>
      </c>
    </row>
    <row r="35" spans="1:10" ht="15" customHeight="1" x14ac:dyDescent="0.3">
      <c r="A35" t="s">
        <v>84</v>
      </c>
      <c r="B35" t="s">
        <v>85</v>
      </c>
      <c r="C35">
        <v>2023</v>
      </c>
      <c r="D35">
        <v>0.69783300000000004</v>
      </c>
      <c r="E35">
        <v>0.93547999999999998</v>
      </c>
      <c r="F35">
        <v>0.94751099999999999</v>
      </c>
      <c r="G35">
        <v>0.78483199999999997</v>
      </c>
      <c r="H35">
        <v>0.59748199999999996</v>
      </c>
      <c r="I35">
        <v>0.95</v>
      </c>
      <c r="J35">
        <v>0.77229199999999998</v>
      </c>
    </row>
    <row r="36" spans="1:10" ht="15" customHeight="1" x14ac:dyDescent="0.3">
      <c r="A36" t="s">
        <v>84</v>
      </c>
      <c r="B36" t="s">
        <v>85</v>
      </c>
      <c r="C36">
        <v>2024</v>
      </c>
      <c r="D36">
        <v>0.81225800000000004</v>
      </c>
      <c r="E36">
        <v>0.94533999999999996</v>
      </c>
      <c r="F36">
        <v>0.94877</v>
      </c>
      <c r="G36">
        <v>0.84882400000000002</v>
      </c>
      <c r="H36">
        <v>0.77535799999999999</v>
      </c>
      <c r="I36">
        <v>0.95</v>
      </c>
      <c r="J36">
        <v>0.78000700000000001</v>
      </c>
    </row>
    <row r="37" spans="1:10" ht="15" customHeight="1" x14ac:dyDescent="0.3">
      <c r="A37" t="s">
        <v>84</v>
      </c>
      <c r="B37" t="s">
        <v>85</v>
      </c>
      <c r="C37">
        <v>2025</v>
      </c>
      <c r="D37">
        <v>0.87792499999999996</v>
      </c>
      <c r="E37">
        <v>0.97558599999999995</v>
      </c>
      <c r="F37">
        <v>0.95</v>
      </c>
      <c r="G37">
        <v>0.94030199999999997</v>
      </c>
      <c r="H37">
        <v>0.70676899999999998</v>
      </c>
      <c r="I37">
        <v>0.95</v>
      </c>
      <c r="J37">
        <v>0.85525600000000002</v>
      </c>
    </row>
    <row r="38" spans="1:10" ht="15" customHeight="1" x14ac:dyDescent="0.3">
      <c r="A38" t="s">
        <v>115</v>
      </c>
      <c r="B38" t="s">
        <v>116</v>
      </c>
      <c r="C38">
        <v>2023</v>
      </c>
      <c r="D38">
        <v>0.41425499999999998</v>
      </c>
      <c r="E38">
        <v>9.2353000000000005E-2</v>
      </c>
      <c r="F38">
        <v>0.56994900000000004</v>
      </c>
      <c r="G38">
        <v>0.22780500000000001</v>
      </c>
      <c r="H38">
        <v>0.95</v>
      </c>
      <c r="I38">
        <v>0.18582000000000001</v>
      </c>
      <c r="J38">
        <v>0.73090999999999995</v>
      </c>
    </row>
    <row r="39" spans="1:10" ht="15" customHeight="1" x14ac:dyDescent="0.3">
      <c r="A39" t="s">
        <v>115</v>
      </c>
      <c r="B39" t="s">
        <v>116</v>
      </c>
      <c r="C39">
        <v>2024</v>
      </c>
      <c r="D39">
        <v>0.45680700000000002</v>
      </c>
      <c r="E39">
        <v>0.21108399999999999</v>
      </c>
      <c r="F39">
        <v>0.61927500000000002</v>
      </c>
      <c r="G39">
        <v>0.54209700000000005</v>
      </c>
      <c r="H39">
        <v>0.95</v>
      </c>
      <c r="I39">
        <v>0.55665299999999995</v>
      </c>
      <c r="J39">
        <v>0.79122499999999996</v>
      </c>
    </row>
    <row r="40" spans="1:10" ht="15" customHeight="1" x14ac:dyDescent="0.3">
      <c r="A40" t="s">
        <v>115</v>
      </c>
      <c r="B40" t="s">
        <v>116</v>
      </c>
      <c r="C40">
        <v>2025</v>
      </c>
      <c r="D40">
        <v>0.54842400000000002</v>
      </c>
      <c r="E40">
        <v>0.61889499999999997</v>
      </c>
      <c r="F40">
        <v>0.654775</v>
      </c>
      <c r="G40">
        <v>0.73355499999999996</v>
      </c>
      <c r="H40">
        <v>0.95</v>
      </c>
      <c r="I40">
        <v>0.34931200000000001</v>
      </c>
      <c r="J40">
        <v>0.80551799999999996</v>
      </c>
    </row>
    <row r="41" spans="1:10" ht="15" customHeight="1" x14ac:dyDescent="0.3">
      <c r="A41" t="s">
        <v>181</v>
      </c>
      <c r="B41" t="s">
        <v>182</v>
      </c>
      <c r="C41">
        <v>2023</v>
      </c>
      <c r="D41">
        <v>6.1067999999999997E-2</v>
      </c>
      <c r="E41">
        <v>0.16437399999999999</v>
      </c>
      <c r="F41">
        <v>0.156524</v>
      </c>
      <c r="G41">
        <v>5.1887999999999997E-2</v>
      </c>
      <c r="H41">
        <v>6.8093000000000001E-2</v>
      </c>
      <c r="I41">
        <v>7.1358000000000005E-2</v>
      </c>
      <c r="J41">
        <v>2.2627999999999999E-2</v>
      </c>
    </row>
    <row r="42" spans="1:10" ht="15" customHeight="1" x14ac:dyDescent="0.3">
      <c r="A42" t="s">
        <v>181</v>
      </c>
      <c r="B42" t="s">
        <v>182</v>
      </c>
      <c r="C42">
        <v>2024</v>
      </c>
      <c r="D42">
        <v>0.13616800000000001</v>
      </c>
      <c r="E42">
        <v>0.81955900000000004</v>
      </c>
      <c r="F42">
        <v>0.71539600000000003</v>
      </c>
      <c r="G42">
        <v>0.106777</v>
      </c>
      <c r="H42">
        <v>4.2505000000000001E-2</v>
      </c>
      <c r="I42">
        <v>9.2716999999999994E-2</v>
      </c>
      <c r="J42">
        <v>0.05</v>
      </c>
    </row>
    <row r="43" spans="1:10" ht="15" customHeight="1" x14ac:dyDescent="0.3">
      <c r="A43" t="s">
        <v>181</v>
      </c>
      <c r="B43" t="s">
        <v>182</v>
      </c>
      <c r="C43">
        <v>2025</v>
      </c>
      <c r="D43">
        <v>0.27259800000000001</v>
      </c>
      <c r="E43">
        <v>0.84800799999999998</v>
      </c>
      <c r="F43">
        <v>0.70485600000000004</v>
      </c>
      <c r="G43">
        <v>0.14705699999999999</v>
      </c>
      <c r="H43">
        <v>0.18629100000000001</v>
      </c>
      <c r="I43">
        <v>0.15307599999999999</v>
      </c>
      <c r="J43">
        <v>5.1937999999999998E-2</v>
      </c>
    </row>
    <row r="44" spans="1:10" ht="15" customHeight="1" x14ac:dyDescent="0.3">
      <c r="A44" t="s">
        <v>112</v>
      </c>
      <c r="B44" t="s">
        <v>113</v>
      </c>
      <c r="C44">
        <v>2023</v>
      </c>
      <c r="D44">
        <v>0.30825799999999998</v>
      </c>
      <c r="E44">
        <v>4.2280999999999999E-2</v>
      </c>
      <c r="F44">
        <v>0.51919300000000002</v>
      </c>
      <c r="G44">
        <v>0.43926399999999999</v>
      </c>
      <c r="H44">
        <v>0.907219</v>
      </c>
      <c r="I44">
        <v>0.503556</v>
      </c>
      <c r="J44">
        <v>0.61975800000000003</v>
      </c>
    </row>
    <row r="45" spans="1:10" ht="15" customHeight="1" x14ac:dyDescent="0.3">
      <c r="A45" t="s">
        <v>112</v>
      </c>
      <c r="B45" t="s">
        <v>113</v>
      </c>
      <c r="C45">
        <v>2024</v>
      </c>
      <c r="D45">
        <v>0.511208</v>
      </c>
      <c r="E45">
        <v>0.18329300000000001</v>
      </c>
      <c r="F45">
        <v>0.55735500000000004</v>
      </c>
      <c r="G45">
        <v>0.62395500000000004</v>
      </c>
      <c r="H45">
        <v>0.94368099999999999</v>
      </c>
      <c r="I45">
        <v>0.55313999999999997</v>
      </c>
      <c r="J45">
        <v>0.65564699999999998</v>
      </c>
    </row>
    <row r="46" spans="1:10" ht="15" customHeight="1" x14ac:dyDescent="0.3">
      <c r="A46" t="s">
        <v>112</v>
      </c>
      <c r="B46" t="s">
        <v>113</v>
      </c>
      <c r="C46">
        <v>2025</v>
      </c>
      <c r="D46">
        <v>0.55950200000000005</v>
      </c>
      <c r="E46">
        <v>0.47804099999999999</v>
      </c>
      <c r="F46">
        <v>0.654775</v>
      </c>
      <c r="G46">
        <v>0.72987400000000002</v>
      </c>
      <c r="H46">
        <v>0.95</v>
      </c>
      <c r="I46">
        <v>0.654775</v>
      </c>
      <c r="J46">
        <v>0.78379399999999999</v>
      </c>
    </row>
    <row r="47" spans="1:10" ht="15" customHeight="1" x14ac:dyDescent="0.3">
      <c r="A47" t="s">
        <v>131</v>
      </c>
      <c r="B47" t="s">
        <v>132</v>
      </c>
      <c r="C47">
        <v>2023</v>
      </c>
      <c r="D47">
        <v>0.92386400000000002</v>
      </c>
      <c r="E47">
        <v>3.0124999999999999E-2</v>
      </c>
      <c r="F47">
        <v>0.204759</v>
      </c>
      <c r="G47">
        <v>0.303622</v>
      </c>
      <c r="H47">
        <v>0.25355</v>
      </c>
      <c r="I47">
        <v>7.4870000000000006E-2</v>
      </c>
      <c r="J47">
        <v>0.75629599999999997</v>
      </c>
    </row>
    <row r="48" spans="1:10" ht="15" customHeight="1" x14ac:dyDescent="0.3">
      <c r="A48" t="s">
        <v>131</v>
      </c>
      <c r="B48" t="s">
        <v>132</v>
      </c>
      <c r="C48">
        <v>2024</v>
      </c>
      <c r="D48">
        <v>0.93186000000000002</v>
      </c>
      <c r="E48">
        <v>0.501</v>
      </c>
      <c r="F48">
        <v>0.204759</v>
      </c>
      <c r="G48">
        <v>0.55602700000000005</v>
      </c>
      <c r="H48">
        <v>0.31684800000000002</v>
      </c>
      <c r="I48">
        <v>4.8304E-2</v>
      </c>
      <c r="J48">
        <v>0.74801700000000004</v>
      </c>
    </row>
    <row r="49" spans="1:10" ht="15" customHeight="1" x14ac:dyDescent="0.3">
      <c r="A49" t="s">
        <v>131</v>
      </c>
      <c r="B49" t="s">
        <v>132</v>
      </c>
      <c r="C49">
        <v>2025</v>
      </c>
      <c r="D49">
        <v>0.95</v>
      </c>
      <c r="E49">
        <v>0.48901499999999998</v>
      </c>
      <c r="F49">
        <v>0.27549400000000002</v>
      </c>
      <c r="G49">
        <v>0.71863900000000003</v>
      </c>
      <c r="H49">
        <v>0.51794600000000002</v>
      </c>
      <c r="I49">
        <v>0.29291699999999998</v>
      </c>
      <c r="J49">
        <v>0.86590800000000001</v>
      </c>
    </row>
    <row r="50" spans="1:10" ht="15" customHeight="1" x14ac:dyDescent="0.3">
      <c r="A50" t="s">
        <v>148</v>
      </c>
      <c r="B50" t="s">
        <v>149</v>
      </c>
      <c r="C50">
        <v>2023</v>
      </c>
      <c r="D50">
        <v>0.92064999999999997</v>
      </c>
      <c r="E50">
        <v>0.679033</v>
      </c>
      <c r="F50">
        <v>0.501</v>
      </c>
      <c r="G50">
        <v>0.43325999999999998</v>
      </c>
      <c r="H50">
        <v>0.14105799999999999</v>
      </c>
      <c r="I50">
        <v>0.33185199999999998</v>
      </c>
      <c r="J50">
        <v>0.25700400000000001</v>
      </c>
    </row>
    <row r="51" spans="1:10" ht="15" customHeight="1" x14ac:dyDescent="0.3">
      <c r="A51" t="s">
        <v>148</v>
      </c>
      <c r="B51" t="s">
        <v>149</v>
      </c>
      <c r="C51">
        <v>2024</v>
      </c>
      <c r="D51">
        <v>0.95</v>
      </c>
      <c r="E51">
        <v>0.79441399999999995</v>
      </c>
      <c r="F51">
        <v>0.426458</v>
      </c>
      <c r="G51">
        <v>0.45737800000000001</v>
      </c>
      <c r="H51">
        <v>0.30792799999999998</v>
      </c>
      <c r="I51">
        <v>0.563662</v>
      </c>
      <c r="J51">
        <v>0.29290300000000002</v>
      </c>
    </row>
    <row r="52" spans="1:10" ht="15" customHeight="1" x14ac:dyDescent="0.3">
      <c r="A52" t="s">
        <v>148</v>
      </c>
      <c r="B52" t="s">
        <v>149</v>
      </c>
      <c r="C52">
        <v>2025</v>
      </c>
      <c r="D52">
        <v>0.95</v>
      </c>
      <c r="E52">
        <v>0.88366500000000003</v>
      </c>
      <c r="F52">
        <v>0.71539600000000003</v>
      </c>
      <c r="G52">
        <v>0.79418100000000003</v>
      </c>
      <c r="H52">
        <v>0.55365399999999998</v>
      </c>
      <c r="I52">
        <v>0.53903699999999999</v>
      </c>
      <c r="J52">
        <v>0.57167100000000004</v>
      </c>
    </row>
    <row r="53" spans="1:10" ht="15" customHeight="1" x14ac:dyDescent="0.3">
      <c r="A53" t="s">
        <v>121</v>
      </c>
      <c r="B53" t="s">
        <v>122</v>
      </c>
      <c r="C53">
        <v>2023</v>
      </c>
      <c r="D53">
        <v>3.7939000000000001E-2</v>
      </c>
      <c r="E53">
        <v>0.112495</v>
      </c>
      <c r="F53">
        <v>0.501</v>
      </c>
      <c r="G53">
        <v>0.203067</v>
      </c>
      <c r="H53">
        <v>0.32135999999999998</v>
      </c>
      <c r="I53">
        <v>0.57760199999999995</v>
      </c>
      <c r="J53">
        <v>0.13672300000000001</v>
      </c>
    </row>
    <row r="54" spans="1:10" ht="15" customHeight="1" x14ac:dyDescent="0.3">
      <c r="A54" t="s">
        <v>121</v>
      </c>
      <c r="B54" t="s">
        <v>122</v>
      </c>
      <c r="C54">
        <v>2024</v>
      </c>
      <c r="D54">
        <v>0.13844699999999999</v>
      </c>
      <c r="E54">
        <v>0.32145400000000002</v>
      </c>
      <c r="F54">
        <v>0.44178200000000001</v>
      </c>
      <c r="G54">
        <v>0.50937600000000005</v>
      </c>
      <c r="H54">
        <v>0.373058</v>
      </c>
      <c r="I54">
        <v>0.48057</v>
      </c>
      <c r="J54">
        <v>0.242004</v>
      </c>
    </row>
    <row r="55" spans="1:10" ht="15" customHeight="1" x14ac:dyDescent="0.3">
      <c r="A55" t="s">
        <v>121</v>
      </c>
      <c r="B55" t="s">
        <v>122</v>
      </c>
      <c r="C55">
        <v>2025</v>
      </c>
      <c r="D55">
        <v>0.16835800000000001</v>
      </c>
      <c r="E55">
        <v>0.59789599999999998</v>
      </c>
      <c r="F55">
        <v>0.61927500000000002</v>
      </c>
      <c r="G55">
        <v>0.501</v>
      </c>
      <c r="H55">
        <v>0.63565899999999997</v>
      </c>
      <c r="I55">
        <v>0.71307299999999996</v>
      </c>
      <c r="J55">
        <v>0.29290300000000002</v>
      </c>
    </row>
    <row r="56" spans="1:10" ht="15" customHeight="1" x14ac:dyDescent="0.3">
      <c r="A56" t="s">
        <v>105</v>
      </c>
      <c r="B56" t="s">
        <v>106</v>
      </c>
      <c r="C56">
        <v>2023</v>
      </c>
      <c r="D56">
        <v>0.56318299999999999</v>
      </c>
      <c r="E56">
        <v>0.75608699999999995</v>
      </c>
      <c r="F56">
        <v>0.39253300000000002</v>
      </c>
      <c r="G56">
        <v>0.82854799999999995</v>
      </c>
      <c r="H56">
        <v>0.84391700000000003</v>
      </c>
      <c r="I56">
        <v>0.85720499999999999</v>
      </c>
      <c r="J56">
        <v>0.501</v>
      </c>
    </row>
    <row r="57" spans="1:10" ht="15" customHeight="1" x14ac:dyDescent="0.3">
      <c r="A57" t="s">
        <v>105</v>
      </c>
      <c r="B57" t="s">
        <v>106</v>
      </c>
      <c r="C57">
        <v>2024</v>
      </c>
      <c r="D57">
        <v>0.80765600000000004</v>
      </c>
      <c r="E57">
        <v>0.84027700000000005</v>
      </c>
      <c r="F57">
        <v>0.59485100000000002</v>
      </c>
      <c r="G57">
        <v>0.89095100000000005</v>
      </c>
      <c r="H57">
        <v>0.71415499999999998</v>
      </c>
      <c r="I57">
        <v>0.84270199999999995</v>
      </c>
      <c r="J57">
        <v>0.81574199999999997</v>
      </c>
    </row>
    <row r="58" spans="1:10" ht="15" customHeight="1" x14ac:dyDescent="0.3">
      <c r="A58" t="s">
        <v>105</v>
      </c>
      <c r="B58" t="s">
        <v>106</v>
      </c>
      <c r="C58">
        <v>2025</v>
      </c>
      <c r="D58">
        <v>0.86626099999999995</v>
      </c>
      <c r="E58">
        <v>0.88812100000000005</v>
      </c>
      <c r="F58">
        <v>0.501</v>
      </c>
      <c r="G58">
        <v>0.95088300000000003</v>
      </c>
      <c r="H58">
        <v>0.86613499999999999</v>
      </c>
      <c r="I58">
        <v>0.85893699999999995</v>
      </c>
      <c r="J58">
        <v>0.79486900000000005</v>
      </c>
    </row>
    <row r="59" spans="1:10" ht="15" customHeight="1" x14ac:dyDescent="0.3">
      <c r="A59" t="s">
        <v>89</v>
      </c>
      <c r="B59" t="s">
        <v>90</v>
      </c>
      <c r="C59">
        <v>2023</v>
      </c>
      <c r="D59">
        <v>0.92695899999999998</v>
      </c>
      <c r="E59">
        <v>0.90190899999999996</v>
      </c>
      <c r="F59">
        <v>0.453349</v>
      </c>
      <c r="G59">
        <v>0.76857500000000001</v>
      </c>
      <c r="H59">
        <v>0.710476</v>
      </c>
      <c r="I59">
        <v>0.81873200000000002</v>
      </c>
      <c r="J59">
        <v>0.56076300000000001</v>
      </c>
    </row>
    <row r="60" spans="1:10" ht="15" customHeight="1" x14ac:dyDescent="0.3">
      <c r="A60" t="s">
        <v>89</v>
      </c>
      <c r="B60" t="s">
        <v>90</v>
      </c>
      <c r="C60">
        <v>2024</v>
      </c>
      <c r="D60">
        <v>0.94320999999999999</v>
      </c>
      <c r="E60">
        <v>0.93636200000000003</v>
      </c>
      <c r="F60">
        <v>0.563662</v>
      </c>
      <c r="G60">
        <v>0.91968499999999997</v>
      </c>
      <c r="H60">
        <v>0.78761899999999996</v>
      </c>
      <c r="I60">
        <v>0.77513200000000004</v>
      </c>
      <c r="J60">
        <v>0.83493200000000001</v>
      </c>
    </row>
    <row r="61" spans="1:10" ht="15" customHeight="1" x14ac:dyDescent="0.3">
      <c r="A61" t="s">
        <v>89</v>
      </c>
      <c r="B61" t="s">
        <v>90</v>
      </c>
      <c r="C61">
        <v>2025</v>
      </c>
      <c r="D61">
        <v>0.95</v>
      </c>
      <c r="E61">
        <v>0.95110499999999998</v>
      </c>
      <c r="F61">
        <v>0.51919300000000002</v>
      </c>
      <c r="G61">
        <v>0.91247999999999996</v>
      </c>
      <c r="H61">
        <v>0.79938399999999998</v>
      </c>
      <c r="I61">
        <v>0.86733700000000002</v>
      </c>
      <c r="J61">
        <v>0.80201599999999995</v>
      </c>
    </row>
    <row r="62" spans="1:10" ht="15" customHeight="1" x14ac:dyDescent="0.3">
      <c r="A62" t="s">
        <v>166</v>
      </c>
      <c r="B62" t="s">
        <v>167</v>
      </c>
      <c r="C62">
        <v>2023</v>
      </c>
      <c r="D62">
        <v>3.7939000000000001E-2</v>
      </c>
      <c r="E62">
        <v>9.6102999999999994E-2</v>
      </c>
      <c r="F62">
        <v>2.6530999999999999E-2</v>
      </c>
      <c r="G62">
        <v>4.9537999999999999E-2</v>
      </c>
      <c r="H62">
        <v>6.0600000000000001E-2</v>
      </c>
      <c r="I62">
        <v>2.3376000000000001E-2</v>
      </c>
      <c r="J62">
        <v>3.4722999999999997E-2</v>
      </c>
    </row>
    <row r="63" spans="1:10" ht="15" customHeight="1" x14ac:dyDescent="0.3">
      <c r="A63" t="s">
        <v>166</v>
      </c>
      <c r="B63" t="s">
        <v>167</v>
      </c>
      <c r="C63">
        <v>2024</v>
      </c>
      <c r="D63">
        <v>0.13844699999999999</v>
      </c>
      <c r="E63">
        <v>0.467088</v>
      </c>
      <c r="F63">
        <v>5.2115000000000002E-2</v>
      </c>
      <c r="G63">
        <v>0.109128</v>
      </c>
      <c r="H63">
        <v>6.9422999999999999E-2</v>
      </c>
      <c r="I63">
        <v>6.7998000000000003E-2</v>
      </c>
      <c r="J63">
        <v>0.05</v>
      </c>
    </row>
    <row r="64" spans="1:10" ht="15" customHeight="1" x14ac:dyDescent="0.3">
      <c r="A64" t="s">
        <v>166</v>
      </c>
      <c r="B64" t="s">
        <v>167</v>
      </c>
      <c r="C64">
        <v>2025</v>
      </c>
      <c r="D64">
        <v>0.152804</v>
      </c>
      <c r="E64">
        <v>0.55124399999999996</v>
      </c>
      <c r="F64">
        <v>4.9852E-2</v>
      </c>
      <c r="G64">
        <v>0.29339799999999999</v>
      </c>
      <c r="H64">
        <v>0.128941</v>
      </c>
      <c r="I64">
        <v>5.8779999999999999E-2</v>
      </c>
      <c r="J64">
        <v>5.8184E-2</v>
      </c>
    </row>
    <row r="65" spans="1:10" ht="15" customHeight="1" x14ac:dyDescent="0.3">
      <c r="A65" t="s">
        <v>150</v>
      </c>
      <c r="B65" t="s">
        <v>151</v>
      </c>
      <c r="C65">
        <v>2023</v>
      </c>
      <c r="D65">
        <v>4.9093999999999999E-2</v>
      </c>
      <c r="E65">
        <v>0.32145400000000002</v>
      </c>
      <c r="F65">
        <v>0.173711</v>
      </c>
      <c r="G65">
        <v>9.5680000000000001E-2</v>
      </c>
      <c r="H65">
        <v>0.35860799999999998</v>
      </c>
      <c r="I65">
        <v>4.9509999999999998E-2</v>
      </c>
      <c r="J65">
        <v>0.34051599999999999</v>
      </c>
    </row>
    <row r="66" spans="1:10" ht="15" customHeight="1" x14ac:dyDescent="0.3">
      <c r="A66" t="s">
        <v>150</v>
      </c>
      <c r="B66" t="s">
        <v>151</v>
      </c>
      <c r="C66">
        <v>2024</v>
      </c>
      <c r="D66">
        <v>0.12951799999999999</v>
      </c>
      <c r="E66">
        <v>0.52202499999999996</v>
      </c>
      <c r="F66">
        <v>0.220417</v>
      </c>
      <c r="G66">
        <v>0.121574</v>
      </c>
      <c r="H66">
        <v>0.27784500000000001</v>
      </c>
      <c r="I66">
        <v>7.1358000000000005E-2</v>
      </c>
      <c r="J66">
        <v>0.32275999999999999</v>
      </c>
    </row>
    <row r="67" spans="1:10" ht="15" customHeight="1" x14ac:dyDescent="0.3">
      <c r="A67" t="s">
        <v>150</v>
      </c>
      <c r="B67" t="s">
        <v>151</v>
      </c>
      <c r="C67">
        <v>2025</v>
      </c>
      <c r="D67">
        <v>0.20951</v>
      </c>
      <c r="E67">
        <v>0.652895</v>
      </c>
      <c r="F67">
        <v>0.26321899999999998</v>
      </c>
      <c r="G67">
        <v>0.43926399999999999</v>
      </c>
      <c r="H67">
        <v>0.46372600000000003</v>
      </c>
      <c r="I67">
        <v>0.106654</v>
      </c>
      <c r="J67">
        <v>0.47498299999999999</v>
      </c>
    </row>
    <row r="68" spans="1:10" ht="15" customHeight="1" x14ac:dyDescent="0.3">
      <c r="A68" t="s">
        <v>162</v>
      </c>
      <c r="B68" t="s">
        <v>163</v>
      </c>
      <c r="C68">
        <v>2023</v>
      </c>
      <c r="D68">
        <v>0.69467199999999996</v>
      </c>
      <c r="E68">
        <v>0.54396500000000003</v>
      </c>
      <c r="F68">
        <v>0.95</v>
      </c>
      <c r="G68">
        <v>0.35197400000000001</v>
      </c>
      <c r="H68">
        <v>0.18007699999999999</v>
      </c>
      <c r="I68">
        <v>5.2006999999999998E-2</v>
      </c>
      <c r="J68">
        <v>0.16486799999999999</v>
      </c>
    </row>
    <row r="69" spans="1:10" ht="15" customHeight="1" x14ac:dyDescent="0.3">
      <c r="A69" t="s">
        <v>162</v>
      </c>
      <c r="B69" t="s">
        <v>163</v>
      </c>
      <c r="C69">
        <v>2024</v>
      </c>
      <c r="D69">
        <v>0.76238799999999995</v>
      </c>
      <c r="E69">
        <v>0.22609199999999999</v>
      </c>
      <c r="F69">
        <v>0.91537900000000005</v>
      </c>
      <c r="G69">
        <v>0.501</v>
      </c>
      <c r="H69">
        <v>0.36821500000000001</v>
      </c>
      <c r="I69">
        <v>4.5976000000000003E-2</v>
      </c>
      <c r="J69">
        <v>0.377363</v>
      </c>
    </row>
    <row r="70" spans="1:10" ht="15" customHeight="1" x14ac:dyDescent="0.3">
      <c r="A70" t="s">
        <v>162</v>
      </c>
      <c r="B70" t="s">
        <v>163</v>
      </c>
      <c r="C70">
        <v>2025</v>
      </c>
      <c r="D70">
        <v>0.87792499999999996</v>
      </c>
      <c r="E70">
        <v>0.70714699999999997</v>
      </c>
      <c r="F70">
        <v>0.95</v>
      </c>
      <c r="G70">
        <v>0.803226</v>
      </c>
      <c r="H70">
        <v>0.32135999999999998</v>
      </c>
      <c r="I70">
        <v>5.7362999999999997E-2</v>
      </c>
      <c r="J70">
        <v>0.231153</v>
      </c>
    </row>
    <row r="71" spans="1:10" ht="15" customHeight="1" x14ac:dyDescent="0.3">
      <c r="A71" t="s">
        <v>94</v>
      </c>
      <c r="B71" t="s">
        <v>95</v>
      </c>
      <c r="C71">
        <v>2023</v>
      </c>
      <c r="D71">
        <v>0.62787800000000005</v>
      </c>
      <c r="E71">
        <v>0.92083199999999998</v>
      </c>
      <c r="F71">
        <v>0.48830499999999999</v>
      </c>
      <c r="G71">
        <v>0.26397199999999998</v>
      </c>
      <c r="H71">
        <v>0.70676899999999998</v>
      </c>
      <c r="I71">
        <v>0.41026499999999999</v>
      </c>
      <c r="J71">
        <v>0.73525499999999999</v>
      </c>
    </row>
    <row r="72" spans="1:10" ht="15" customHeight="1" x14ac:dyDescent="0.3">
      <c r="A72" t="s">
        <v>94</v>
      </c>
      <c r="B72" t="s">
        <v>95</v>
      </c>
      <c r="C72">
        <v>2024</v>
      </c>
      <c r="D72">
        <v>0.82981499999999997</v>
      </c>
      <c r="E72">
        <v>0.93893800000000005</v>
      </c>
      <c r="F72">
        <v>0.512799</v>
      </c>
      <c r="G72">
        <v>0.56986899999999996</v>
      </c>
      <c r="H72">
        <v>0.79060699999999995</v>
      </c>
      <c r="I72">
        <v>0.57064599999999999</v>
      </c>
      <c r="J72">
        <v>0.79486900000000005</v>
      </c>
    </row>
    <row r="73" spans="1:10" ht="15" customHeight="1" x14ac:dyDescent="0.3">
      <c r="A73" t="s">
        <v>94</v>
      </c>
      <c r="B73" t="s">
        <v>95</v>
      </c>
      <c r="C73">
        <v>2025</v>
      </c>
      <c r="D73">
        <v>0.84011000000000002</v>
      </c>
      <c r="E73">
        <v>0.97487699999999999</v>
      </c>
      <c r="F73">
        <v>0.79940900000000004</v>
      </c>
      <c r="G73">
        <v>0.48169699999999999</v>
      </c>
      <c r="H73">
        <v>0.89096200000000003</v>
      </c>
      <c r="I73">
        <v>0.62529299999999999</v>
      </c>
      <c r="J73">
        <v>0.94828500000000004</v>
      </c>
    </row>
    <row r="74" spans="1:10" ht="15" customHeight="1" x14ac:dyDescent="0.3">
      <c r="A74" t="s">
        <v>152</v>
      </c>
      <c r="B74" t="s">
        <v>153</v>
      </c>
      <c r="C74">
        <v>2023</v>
      </c>
      <c r="D74">
        <v>0.36398799999999998</v>
      </c>
      <c r="E74">
        <v>6.6807000000000005E-2</v>
      </c>
      <c r="F74">
        <v>0.21248300000000001</v>
      </c>
      <c r="G74">
        <v>0.43325999999999998</v>
      </c>
      <c r="H74">
        <v>0.26958900000000002</v>
      </c>
      <c r="I74">
        <v>7.6685000000000003E-2</v>
      </c>
      <c r="J74">
        <v>0.288771</v>
      </c>
    </row>
    <row r="75" spans="1:10" ht="15" customHeight="1" x14ac:dyDescent="0.3">
      <c r="A75" t="s">
        <v>152</v>
      </c>
      <c r="B75" t="s">
        <v>153</v>
      </c>
      <c r="C75">
        <v>2024</v>
      </c>
      <c r="D75">
        <v>0.58147199999999999</v>
      </c>
      <c r="E75">
        <v>0.41300100000000001</v>
      </c>
      <c r="F75">
        <v>0.25424600000000003</v>
      </c>
      <c r="G75">
        <v>0.54209700000000005</v>
      </c>
      <c r="H75">
        <v>0.34911300000000001</v>
      </c>
      <c r="I75">
        <v>9.4920000000000004E-2</v>
      </c>
      <c r="J75">
        <v>0.22411</v>
      </c>
    </row>
    <row r="76" spans="1:10" ht="15" customHeight="1" x14ac:dyDescent="0.3">
      <c r="A76" t="s">
        <v>152</v>
      </c>
      <c r="B76" t="s">
        <v>153</v>
      </c>
      <c r="C76">
        <v>2025</v>
      </c>
      <c r="D76">
        <v>0.58872899999999995</v>
      </c>
      <c r="E76">
        <v>0.58725499999999997</v>
      </c>
      <c r="F76">
        <v>0.26020500000000002</v>
      </c>
      <c r="G76">
        <v>0.66683700000000001</v>
      </c>
      <c r="H76">
        <v>0.501</v>
      </c>
      <c r="I76">
        <v>0.13100400000000001</v>
      </c>
      <c r="J76">
        <v>0.33157799999999998</v>
      </c>
    </row>
    <row r="77" spans="1:10" ht="15" customHeight="1" x14ac:dyDescent="0.3">
      <c r="A77" t="s">
        <v>175</v>
      </c>
      <c r="B77" t="s">
        <v>176</v>
      </c>
      <c r="C77">
        <v>2023</v>
      </c>
      <c r="D77">
        <v>0.937338</v>
      </c>
      <c r="E77">
        <v>0.652895</v>
      </c>
      <c r="F77">
        <v>0.53832999999999998</v>
      </c>
      <c r="G77">
        <v>0.80024499999999998</v>
      </c>
      <c r="H77">
        <v>0.699272</v>
      </c>
      <c r="I77">
        <v>0.45476499999999997</v>
      </c>
      <c r="J77">
        <v>0.59326800000000002</v>
      </c>
    </row>
    <row r="78" spans="1:10" ht="15" customHeight="1" x14ac:dyDescent="0.3">
      <c r="A78" t="s">
        <v>175</v>
      </c>
      <c r="B78" t="s">
        <v>176</v>
      </c>
      <c r="C78">
        <v>2024</v>
      </c>
      <c r="D78">
        <v>0.94928500000000005</v>
      </c>
      <c r="E78">
        <v>0.80384599999999995</v>
      </c>
      <c r="F78">
        <v>0.63127299999999997</v>
      </c>
      <c r="G78">
        <v>0.86708600000000002</v>
      </c>
      <c r="H78">
        <v>0.73562899999999998</v>
      </c>
      <c r="I78">
        <v>0.60848599999999997</v>
      </c>
      <c r="J78">
        <v>0.73955499999999996</v>
      </c>
    </row>
    <row r="79" spans="1:10" ht="15" customHeight="1" x14ac:dyDescent="0.3">
      <c r="A79" t="s">
        <v>175</v>
      </c>
      <c r="B79" t="s">
        <v>176</v>
      </c>
      <c r="C79">
        <v>2025</v>
      </c>
      <c r="D79">
        <v>0.95</v>
      </c>
      <c r="E79">
        <v>0.85902500000000004</v>
      </c>
      <c r="F79">
        <v>0.76454800000000001</v>
      </c>
      <c r="G79">
        <v>0.94631399999999999</v>
      </c>
      <c r="H79">
        <v>0.81610400000000005</v>
      </c>
      <c r="I79">
        <v>0.52487200000000001</v>
      </c>
      <c r="J79">
        <v>0.76836300000000002</v>
      </c>
    </row>
    <row r="80" spans="1:10" ht="15" customHeight="1" x14ac:dyDescent="0.3">
      <c r="A80" t="s">
        <v>170</v>
      </c>
      <c r="B80" t="s">
        <v>171</v>
      </c>
      <c r="C80">
        <v>2023</v>
      </c>
      <c r="D80">
        <v>0.91384600000000005</v>
      </c>
      <c r="E80">
        <v>0.93090200000000001</v>
      </c>
      <c r="F80">
        <v>0.34891299999999997</v>
      </c>
      <c r="G80">
        <v>0.93816100000000002</v>
      </c>
      <c r="H80">
        <v>0.62730300000000006</v>
      </c>
      <c r="I80">
        <v>0.94932000000000005</v>
      </c>
      <c r="J80">
        <v>0.91145799999999999</v>
      </c>
    </row>
    <row r="81" spans="1:10" ht="15" customHeight="1" x14ac:dyDescent="0.3">
      <c r="A81" t="s">
        <v>170</v>
      </c>
      <c r="B81" t="s">
        <v>171</v>
      </c>
      <c r="C81">
        <v>2024</v>
      </c>
      <c r="D81">
        <v>0.93465299999999996</v>
      </c>
      <c r="E81">
        <v>0.95178399999999996</v>
      </c>
      <c r="F81">
        <v>0.64310999999999996</v>
      </c>
      <c r="G81">
        <v>0.97786899999999999</v>
      </c>
      <c r="H81">
        <v>0.62309599999999998</v>
      </c>
      <c r="I81">
        <v>0.94044899999999998</v>
      </c>
      <c r="J81">
        <v>0.96074300000000001</v>
      </c>
    </row>
    <row r="82" spans="1:10" ht="15" customHeight="1" x14ac:dyDescent="0.3">
      <c r="A82" t="s">
        <v>170</v>
      </c>
      <c r="B82" t="s">
        <v>171</v>
      </c>
      <c r="C82">
        <v>2025</v>
      </c>
      <c r="D82">
        <v>0.95</v>
      </c>
      <c r="E82">
        <v>0.96887500000000004</v>
      </c>
      <c r="F82">
        <v>0.38143500000000002</v>
      </c>
      <c r="G82">
        <v>0.98089300000000001</v>
      </c>
      <c r="H82">
        <v>0.781551</v>
      </c>
      <c r="I82">
        <v>0.95</v>
      </c>
      <c r="J82">
        <v>0.95042000000000004</v>
      </c>
    </row>
    <row r="83" spans="1:10" ht="15" customHeight="1" x14ac:dyDescent="0.3">
      <c r="A83" t="s">
        <v>127</v>
      </c>
      <c r="B83" t="s">
        <v>128</v>
      </c>
      <c r="C83">
        <v>2023</v>
      </c>
      <c r="D83">
        <v>8.1298999999999996E-2</v>
      </c>
      <c r="E83">
        <v>9.2353000000000005E-2</v>
      </c>
      <c r="F83">
        <v>0.49610100000000001</v>
      </c>
      <c r="G83">
        <v>2.7529999999999999E-2</v>
      </c>
      <c r="H83">
        <v>0.30792799999999998</v>
      </c>
      <c r="I83">
        <v>7.6685000000000003E-2</v>
      </c>
      <c r="J83">
        <v>0.33157799999999998</v>
      </c>
    </row>
    <row r="84" spans="1:10" ht="15" customHeight="1" x14ac:dyDescent="0.3">
      <c r="A84" t="s">
        <v>127</v>
      </c>
      <c r="B84" t="s">
        <v>128</v>
      </c>
      <c r="C84">
        <v>2024</v>
      </c>
      <c r="D84">
        <v>9.6879999999999994E-2</v>
      </c>
      <c r="E84">
        <v>0.501</v>
      </c>
      <c r="F84">
        <v>0.48441000000000001</v>
      </c>
      <c r="G84">
        <v>0.109128</v>
      </c>
      <c r="H84">
        <v>0.31237100000000001</v>
      </c>
      <c r="I84">
        <v>0.114292</v>
      </c>
      <c r="J84">
        <v>0.37266899999999997</v>
      </c>
    </row>
    <row r="85" spans="1:10" ht="15" customHeight="1" x14ac:dyDescent="0.3">
      <c r="A85" t="s">
        <v>127</v>
      </c>
      <c r="B85" t="s">
        <v>128</v>
      </c>
      <c r="C85">
        <v>2025</v>
      </c>
      <c r="D85">
        <v>0.20951</v>
      </c>
      <c r="E85">
        <v>0.60844600000000004</v>
      </c>
      <c r="F85">
        <v>0.75520500000000002</v>
      </c>
      <c r="G85">
        <v>0.16639599999999999</v>
      </c>
      <c r="H85">
        <v>0.54921299999999995</v>
      </c>
      <c r="I85">
        <v>0.17810500000000001</v>
      </c>
      <c r="J85">
        <v>0.46002500000000002</v>
      </c>
    </row>
    <row r="86" spans="1:10" ht="15" customHeight="1" x14ac:dyDescent="0.3">
      <c r="A86" t="s">
        <v>142</v>
      </c>
      <c r="B86" t="s">
        <v>143</v>
      </c>
      <c r="C86">
        <v>2023</v>
      </c>
      <c r="D86">
        <v>0.71335400000000004</v>
      </c>
      <c r="E86">
        <v>0.80384599999999995</v>
      </c>
      <c r="F86">
        <v>0.67192600000000002</v>
      </c>
      <c r="G86">
        <v>0.96179199999999998</v>
      </c>
      <c r="H86">
        <v>0.92383199999999999</v>
      </c>
      <c r="I86">
        <v>0.84827600000000003</v>
      </c>
      <c r="J86">
        <v>0.68984500000000004</v>
      </c>
    </row>
    <row r="87" spans="1:10" ht="15" customHeight="1" x14ac:dyDescent="0.3">
      <c r="A87" t="s">
        <v>142</v>
      </c>
      <c r="B87" t="s">
        <v>143</v>
      </c>
      <c r="C87">
        <v>2024</v>
      </c>
      <c r="D87">
        <v>0.83605399999999996</v>
      </c>
      <c r="E87">
        <v>0.771976</v>
      </c>
      <c r="F87">
        <v>0.59485100000000002</v>
      </c>
      <c r="G87">
        <v>0.97943500000000006</v>
      </c>
      <c r="H87">
        <v>0.94826699999999997</v>
      </c>
      <c r="I87">
        <v>0.79434400000000005</v>
      </c>
      <c r="J87">
        <v>0.81574199999999997</v>
      </c>
    </row>
    <row r="88" spans="1:10" ht="15" customHeight="1" x14ac:dyDescent="0.3">
      <c r="A88" t="s">
        <v>142</v>
      </c>
      <c r="B88" t="s">
        <v>143</v>
      </c>
      <c r="C88">
        <v>2025</v>
      </c>
      <c r="D88">
        <v>0.84989499999999996</v>
      </c>
      <c r="E88">
        <v>0.91300199999999998</v>
      </c>
      <c r="F88">
        <v>0.74072800000000005</v>
      </c>
      <c r="G88">
        <v>0.98089300000000001</v>
      </c>
      <c r="H88">
        <v>0.95</v>
      </c>
      <c r="I88">
        <v>0.95</v>
      </c>
      <c r="J88">
        <v>0.76836300000000002</v>
      </c>
    </row>
    <row r="89" spans="1:10" ht="15" customHeight="1" x14ac:dyDescent="0.3">
      <c r="A89" t="s">
        <v>101</v>
      </c>
      <c r="B89" t="s">
        <v>102</v>
      </c>
      <c r="C89">
        <v>2023</v>
      </c>
      <c r="D89">
        <v>5.3786E-2</v>
      </c>
      <c r="E89">
        <v>9.2353000000000005E-2</v>
      </c>
      <c r="F89">
        <v>0.95</v>
      </c>
      <c r="G89">
        <v>0.83119500000000002</v>
      </c>
      <c r="H89">
        <v>0.65212300000000001</v>
      </c>
      <c r="I89">
        <v>0.91603800000000002</v>
      </c>
      <c r="J89">
        <v>0.86846599999999996</v>
      </c>
    </row>
    <row r="90" spans="1:10" ht="15" customHeight="1" x14ac:dyDescent="0.3">
      <c r="A90" t="s">
        <v>101</v>
      </c>
      <c r="B90" t="s">
        <v>102</v>
      </c>
      <c r="C90">
        <v>2024</v>
      </c>
      <c r="D90">
        <v>0.12951799999999999</v>
      </c>
      <c r="E90">
        <v>0.44528600000000002</v>
      </c>
      <c r="F90">
        <v>0.94490499999999999</v>
      </c>
      <c r="G90">
        <v>0.90630100000000002</v>
      </c>
      <c r="H90">
        <v>0.64393400000000001</v>
      </c>
      <c r="I90">
        <v>0.95</v>
      </c>
      <c r="J90">
        <v>0.97029399999999999</v>
      </c>
    </row>
    <row r="91" spans="1:10" ht="15" customHeight="1" x14ac:dyDescent="0.3">
      <c r="A91" t="s">
        <v>101</v>
      </c>
      <c r="B91" t="s">
        <v>102</v>
      </c>
      <c r="C91">
        <v>2025</v>
      </c>
      <c r="D91">
        <v>0.16568099999999999</v>
      </c>
      <c r="E91">
        <v>0.59789599999999998</v>
      </c>
      <c r="F91">
        <v>0.95</v>
      </c>
      <c r="G91">
        <v>0.93009200000000003</v>
      </c>
      <c r="H91">
        <v>0.71415499999999998</v>
      </c>
      <c r="I91">
        <v>0.93801400000000001</v>
      </c>
      <c r="J91">
        <v>0.96318000000000004</v>
      </c>
    </row>
    <row r="92" spans="1:10" ht="15" customHeight="1" x14ac:dyDescent="0.3">
      <c r="A92" t="s">
        <v>190</v>
      </c>
      <c r="B92" t="s">
        <v>191</v>
      </c>
      <c r="C92">
        <v>2023</v>
      </c>
      <c r="D92">
        <v>4.9093999999999999E-2</v>
      </c>
      <c r="E92">
        <v>2.3306E-2</v>
      </c>
      <c r="F92">
        <v>0.18284800000000001</v>
      </c>
      <c r="G92">
        <v>2.8191000000000001E-2</v>
      </c>
      <c r="H92">
        <v>3.6235000000000003E-2</v>
      </c>
      <c r="I92">
        <v>0.12521399999999999</v>
      </c>
      <c r="J92">
        <v>5.1937999999999998E-2</v>
      </c>
    </row>
    <row r="93" spans="1:10" ht="15" customHeight="1" x14ac:dyDescent="0.3">
      <c r="A93" t="s">
        <v>190</v>
      </c>
      <c r="B93" t="s">
        <v>191</v>
      </c>
      <c r="C93">
        <v>2024</v>
      </c>
      <c r="D93">
        <v>9.8576999999999998E-2</v>
      </c>
      <c r="E93">
        <v>0.37113200000000002</v>
      </c>
      <c r="F93">
        <v>0.19972699999999999</v>
      </c>
      <c r="G93">
        <v>0.12961500000000001</v>
      </c>
      <c r="H93">
        <v>4.6935999999999999E-2</v>
      </c>
      <c r="I93">
        <v>6.6374000000000002E-2</v>
      </c>
      <c r="J93">
        <v>3.8240999999999997E-2</v>
      </c>
    </row>
    <row r="94" spans="1:10" ht="15" customHeight="1" x14ac:dyDescent="0.3">
      <c r="A94" t="s">
        <v>190</v>
      </c>
      <c r="B94" t="s">
        <v>191</v>
      </c>
      <c r="C94">
        <v>2025</v>
      </c>
      <c r="D94">
        <v>0.140759</v>
      </c>
      <c r="E94">
        <v>0.47804099999999999</v>
      </c>
      <c r="F94">
        <v>0.189942</v>
      </c>
      <c r="G94">
        <v>0.26874300000000001</v>
      </c>
      <c r="H94">
        <v>6.4244999999999997E-2</v>
      </c>
      <c r="I94">
        <v>0.247027</v>
      </c>
      <c r="J94">
        <v>7.2842000000000004E-2</v>
      </c>
    </row>
    <row r="95" spans="1:10" ht="15" customHeight="1" x14ac:dyDescent="0.3">
      <c r="A95" t="s">
        <v>146</v>
      </c>
      <c r="B95" t="s">
        <v>147</v>
      </c>
      <c r="C95">
        <v>2023</v>
      </c>
      <c r="D95">
        <v>0.32070300000000002</v>
      </c>
      <c r="E95">
        <v>0.14705699999999999</v>
      </c>
      <c r="F95">
        <v>0.45721699999999998</v>
      </c>
      <c r="G95">
        <v>0.18402499999999999</v>
      </c>
      <c r="H95">
        <v>0.699272</v>
      </c>
      <c r="I95">
        <v>0.79665799999999998</v>
      </c>
      <c r="J95">
        <v>0.17912400000000001</v>
      </c>
    </row>
    <row r="96" spans="1:10" ht="15" customHeight="1" x14ac:dyDescent="0.3">
      <c r="A96" t="s">
        <v>146</v>
      </c>
      <c r="B96" t="s">
        <v>147</v>
      </c>
      <c r="C96">
        <v>2024</v>
      </c>
      <c r="D96">
        <v>0.423624</v>
      </c>
      <c r="E96">
        <v>0.37113200000000002</v>
      </c>
      <c r="F96">
        <v>0.512799</v>
      </c>
      <c r="G96">
        <v>0.57903800000000005</v>
      </c>
      <c r="H96">
        <v>0.76583800000000002</v>
      </c>
      <c r="I96">
        <v>0.83889400000000003</v>
      </c>
      <c r="J96">
        <v>0.30550100000000002</v>
      </c>
    </row>
    <row r="97" spans="1:10" ht="15" customHeight="1" x14ac:dyDescent="0.3">
      <c r="A97" t="s">
        <v>146</v>
      </c>
      <c r="B97" t="s">
        <v>147</v>
      </c>
      <c r="C97">
        <v>2025</v>
      </c>
      <c r="D97">
        <v>0.69467199999999996</v>
      </c>
      <c r="E97">
        <v>0.57653100000000002</v>
      </c>
      <c r="F97">
        <v>0.62529299999999999</v>
      </c>
      <c r="G97">
        <v>0.63706099999999999</v>
      </c>
      <c r="H97">
        <v>0.84391700000000003</v>
      </c>
      <c r="I97">
        <v>0.85009800000000002</v>
      </c>
      <c r="J97">
        <v>0.35873100000000002</v>
      </c>
    </row>
    <row r="98" spans="1:10" ht="15" customHeight="1" x14ac:dyDescent="0.3">
      <c r="A98" t="s">
        <v>195</v>
      </c>
      <c r="B98" t="s">
        <v>196</v>
      </c>
      <c r="C98">
        <v>2023</v>
      </c>
      <c r="D98">
        <v>5.5779000000000002E-2</v>
      </c>
      <c r="E98">
        <v>0.104014</v>
      </c>
      <c r="F98">
        <v>0.164938</v>
      </c>
      <c r="G98">
        <v>0.38606499999999999</v>
      </c>
      <c r="H98">
        <v>0.273698</v>
      </c>
      <c r="I98">
        <v>0.17064199999999999</v>
      </c>
      <c r="J98">
        <v>0.24942900000000001</v>
      </c>
    </row>
    <row r="99" spans="1:10" ht="15" customHeight="1" x14ac:dyDescent="0.3">
      <c r="A99" t="s">
        <v>195</v>
      </c>
      <c r="B99" t="s">
        <v>196</v>
      </c>
      <c r="C99">
        <v>2024</v>
      </c>
      <c r="D99">
        <v>0.13392000000000001</v>
      </c>
      <c r="E99">
        <v>0.29339799999999999</v>
      </c>
      <c r="F99">
        <v>0.204759</v>
      </c>
      <c r="G99">
        <v>0.48169699999999999</v>
      </c>
      <c r="H99">
        <v>0.26551999999999998</v>
      </c>
      <c r="I99">
        <v>0.50711200000000001</v>
      </c>
      <c r="J99">
        <v>0.26472800000000002</v>
      </c>
    </row>
    <row r="100" spans="1:10" ht="15" customHeight="1" x14ac:dyDescent="0.3">
      <c r="A100" t="s">
        <v>195</v>
      </c>
      <c r="B100" t="s">
        <v>196</v>
      </c>
      <c r="C100">
        <v>2025</v>
      </c>
      <c r="D100">
        <v>0.21271499999999999</v>
      </c>
      <c r="E100">
        <v>0.61542399999999997</v>
      </c>
      <c r="F100">
        <v>0.30768400000000001</v>
      </c>
      <c r="G100">
        <v>0.791099</v>
      </c>
      <c r="H100">
        <v>0.55365399999999998</v>
      </c>
      <c r="I100">
        <v>0.36718600000000001</v>
      </c>
      <c r="J100">
        <v>0.46500399999999997</v>
      </c>
    </row>
    <row r="101" spans="1:10" ht="15" customHeight="1" x14ac:dyDescent="0.3">
      <c r="A101" t="s">
        <v>138</v>
      </c>
      <c r="B101" t="s">
        <v>139</v>
      </c>
      <c r="C101">
        <v>2023</v>
      </c>
      <c r="D101">
        <v>4.6468000000000002E-2</v>
      </c>
      <c r="E101">
        <v>4.7953000000000003E-2</v>
      </c>
      <c r="F101">
        <v>3.0870000000000002E-2</v>
      </c>
      <c r="G101">
        <v>3.3270000000000001E-2</v>
      </c>
      <c r="H101">
        <v>0.373058</v>
      </c>
      <c r="I101">
        <v>4.9509999999999998E-2</v>
      </c>
      <c r="J101">
        <v>0.31839699999999999</v>
      </c>
    </row>
    <row r="102" spans="1:10" ht="15" customHeight="1" x14ac:dyDescent="0.3">
      <c r="A102" t="s">
        <v>138</v>
      </c>
      <c r="B102" t="s">
        <v>139</v>
      </c>
      <c r="C102">
        <v>2024</v>
      </c>
      <c r="D102">
        <v>0.1003</v>
      </c>
      <c r="E102">
        <v>0.31194499999999997</v>
      </c>
      <c r="F102">
        <v>5.0596000000000002E-2</v>
      </c>
      <c r="G102">
        <v>9.5680000000000001E-2</v>
      </c>
      <c r="H102">
        <v>0.25750000000000001</v>
      </c>
      <c r="I102">
        <v>6.0231E-2</v>
      </c>
      <c r="J102">
        <v>0.30126799999999998</v>
      </c>
    </row>
    <row r="103" spans="1:10" ht="15" customHeight="1" x14ac:dyDescent="0.3">
      <c r="A103" t="s">
        <v>138</v>
      </c>
      <c r="B103" t="s">
        <v>139</v>
      </c>
      <c r="C103">
        <v>2025</v>
      </c>
      <c r="D103">
        <v>0.18514900000000001</v>
      </c>
      <c r="E103">
        <v>0.50367300000000004</v>
      </c>
      <c r="F103">
        <v>5.6936E-2</v>
      </c>
      <c r="G103">
        <v>0.15973300000000001</v>
      </c>
      <c r="H103">
        <v>0.13856099999999999</v>
      </c>
      <c r="I103">
        <v>0.19787199999999999</v>
      </c>
      <c r="J103">
        <v>6.6361000000000003E-2</v>
      </c>
    </row>
    <row r="104" spans="1:10" ht="15" customHeight="1" x14ac:dyDescent="0.3">
      <c r="A104" t="s">
        <v>124</v>
      </c>
      <c r="B104" t="s">
        <v>125</v>
      </c>
      <c r="C104">
        <v>2023</v>
      </c>
      <c r="D104">
        <v>0.34201700000000002</v>
      </c>
      <c r="E104">
        <v>0.24184</v>
      </c>
      <c r="F104">
        <v>0.95</v>
      </c>
      <c r="G104">
        <v>0.150146</v>
      </c>
      <c r="H104">
        <v>0.61462600000000001</v>
      </c>
      <c r="I104">
        <v>0.189773</v>
      </c>
      <c r="J104">
        <v>0.194326</v>
      </c>
    </row>
    <row r="105" spans="1:10" ht="15" customHeight="1" x14ac:dyDescent="0.3">
      <c r="A105" t="s">
        <v>124</v>
      </c>
      <c r="B105" t="s">
        <v>125</v>
      </c>
      <c r="C105">
        <v>2024</v>
      </c>
      <c r="D105">
        <v>0.501</v>
      </c>
      <c r="E105">
        <v>0.45616600000000002</v>
      </c>
      <c r="F105">
        <v>0.95</v>
      </c>
      <c r="G105">
        <v>0.47560400000000003</v>
      </c>
      <c r="H105">
        <v>0.71780600000000006</v>
      </c>
      <c r="I105">
        <v>0.58797699999999997</v>
      </c>
      <c r="J105">
        <v>0.23834900000000001</v>
      </c>
    </row>
    <row r="106" spans="1:10" ht="15" customHeight="1" x14ac:dyDescent="0.3">
      <c r="A106" t="s">
        <v>124</v>
      </c>
      <c r="B106" t="s">
        <v>125</v>
      </c>
      <c r="C106">
        <v>2025</v>
      </c>
      <c r="D106">
        <v>0.60669600000000001</v>
      </c>
      <c r="E106">
        <v>0.67259500000000005</v>
      </c>
      <c r="F106">
        <v>0.95</v>
      </c>
      <c r="G106">
        <v>0.54674900000000004</v>
      </c>
      <c r="H106">
        <v>0.75271399999999999</v>
      </c>
      <c r="I106">
        <v>0.42286299999999999</v>
      </c>
      <c r="J106">
        <v>0.36335200000000001</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8"/>
  <sheetViews>
    <sheetView zoomScaleNormal="100" workbookViewId="0">
      <pane ySplit="1" topLeftCell="A2" activePane="bottomLeft" state="frozen"/>
      <selection pane="bottomLeft" activeCell="F31" sqref="F31"/>
    </sheetView>
  </sheetViews>
  <sheetFormatPr defaultColWidth="8.6640625" defaultRowHeight="14.4" x14ac:dyDescent="0.3"/>
  <cols>
    <col min="1" max="3" width="10" customWidth="1"/>
    <col min="4" max="4" width="11" customWidth="1"/>
    <col min="5" max="7" width="13" customWidth="1"/>
    <col min="8" max="8" width="10" customWidth="1"/>
  </cols>
  <sheetData>
    <row r="1" spans="1:8" ht="15" customHeight="1" x14ac:dyDescent="0.3">
      <c r="A1" s="9" t="s">
        <v>396</v>
      </c>
      <c r="B1" s="9" t="s">
        <v>407</v>
      </c>
      <c r="C1" s="9" t="s">
        <v>408</v>
      </c>
      <c r="D1" s="9" t="s">
        <v>409</v>
      </c>
      <c r="E1" s="9" t="s">
        <v>410</v>
      </c>
      <c r="F1" s="9" t="s">
        <v>411</v>
      </c>
      <c r="G1" s="9" t="s">
        <v>412</v>
      </c>
      <c r="H1" s="9" t="s">
        <v>413</v>
      </c>
    </row>
    <row r="2" spans="1:8" ht="15" customHeight="1" x14ac:dyDescent="0.3">
      <c r="A2" t="s">
        <v>203</v>
      </c>
      <c r="B2">
        <v>2.47E-2</v>
      </c>
      <c r="C2">
        <v>0.95</v>
      </c>
      <c r="D2">
        <v>0.501</v>
      </c>
      <c r="E2">
        <v>52</v>
      </c>
      <c r="F2">
        <v>53</v>
      </c>
      <c r="G2">
        <v>0</v>
      </c>
      <c r="H2">
        <v>86</v>
      </c>
    </row>
    <row r="3" spans="1:8" ht="15" customHeight="1" x14ac:dyDescent="0.3">
      <c r="A3" t="s">
        <v>204</v>
      </c>
      <c r="B3">
        <v>1.3299999999999999E-2</v>
      </c>
      <c r="C3">
        <v>0.97560000000000002</v>
      </c>
      <c r="D3">
        <v>0.501</v>
      </c>
      <c r="E3">
        <v>50</v>
      </c>
      <c r="F3">
        <v>55</v>
      </c>
      <c r="G3">
        <v>0</v>
      </c>
      <c r="H3">
        <v>83</v>
      </c>
    </row>
    <row r="4" spans="1:8" ht="15" customHeight="1" x14ac:dyDescent="0.3">
      <c r="A4" t="s">
        <v>205</v>
      </c>
      <c r="B4">
        <v>2.6499999999999999E-2</v>
      </c>
      <c r="C4">
        <v>0.95</v>
      </c>
      <c r="D4">
        <v>0.501</v>
      </c>
      <c r="E4">
        <v>50</v>
      </c>
      <c r="F4">
        <v>55</v>
      </c>
      <c r="G4">
        <v>0</v>
      </c>
      <c r="H4">
        <v>80</v>
      </c>
    </row>
    <row r="5" spans="1:8" ht="15" customHeight="1" x14ac:dyDescent="0.3">
      <c r="A5" t="s">
        <v>206</v>
      </c>
      <c r="B5">
        <v>2.75E-2</v>
      </c>
      <c r="C5">
        <v>0.98089999999999999</v>
      </c>
      <c r="D5">
        <v>0.501</v>
      </c>
      <c r="E5">
        <v>52</v>
      </c>
      <c r="F5">
        <v>53</v>
      </c>
      <c r="G5">
        <v>0</v>
      </c>
      <c r="H5">
        <v>92</v>
      </c>
    </row>
    <row r="6" spans="1:8" ht="15" customHeight="1" x14ac:dyDescent="0.3">
      <c r="A6" t="s">
        <v>207</v>
      </c>
      <c r="B6">
        <v>2.7900000000000001E-2</v>
      </c>
      <c r="C6">
        <v>0.95</v>
      </c>
      <c r="D6">
        <v>0.501</v>
      </c>
      <c r="E6">
        <v>52</v>
      </c>
      <c r="F6">
        <v>53</v>
      </c>
      <c r="G6">
        <v>0</v>
      </c>
      <c r="H6">
        <v>78</v>
      </c>
    </row>
    <row r="7" spans="1:8" ht="15" customHeight="1" x14ac:dyDescent="0.3">
      <c r="A7" t="s">
        <v>208</v>
      </c>
      <c r="B7">
        <v>2.3400000000000001E-2</v>
      </c>
      <c r="C7">
        <v>0.95</v>
      </c>
      <c r="D7">
        <v>0.501</v>
      </c>
      <c r="E7">
        <v>52</v>
      </c>
      <c r="F7">
        <v>53</v>
      </c>
      <c r="G7">
        <v>0</v>
      </c>
      <c r="H7">
        <v>86</v>
      </c>
    </row>
    <row r="8" spans="1:8" ht="15" customHeight="1" x14ac:dyDescent="0.3">
      <c r="A8" t="s">
        <v>209</v>
      </c>
      <c r="B8">
        <v>2.2599999999999999E-2</v>
      </c>
      <c r="C8">
        <v>0.97030000000000005</v>
      </c>
      <c r="D8">
        <v>0.501</v>
      </c>
      <c r="E8">
        <v>52</v>
      </c>
      <c r="F8">
        <v>53</v>
      </c>
      <c r="G8">
        <v>0</v>
      </c>
      <c r="H8">
        <v>84</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2"/>
  <sheetViews>
    <sheetView zoomScaleNormal="100" workbookViewId="0"/>
  </sheetViews>
  <sheetFormatPr defaultColWidth="8.6640625" defaultRowHeight="14.4" x14ac:dyDescent="0.3"/>
  <cols>
    <col min="1" max="1" width="14" customWidth="1"/>
    <col min="2" max="8" width="11" customWidth="1"/>
  </cols>
  <sheetData>
    <row r="1" spans="1:8" ht="15.75" customHeight="1" x14ac:dyDescent="0.35">
      <c r="A1" s="5" t="s">
        <v>414</v>
      </c>
    </row>
    <row r="2" spans="1:8" ht="30" customHeight="1" x14ac:dyDescent="0.3">
      <c r="A2" s="1" t="s">
        <v>415</v>
      </c>
      <c r="B2" s="1"/>
      <c r="C2" s="1"/>
      <c r="D2" s="1"/>
      <c r="E2" s="1"/>
      <c r="F2" s="1"/>
      <c r="G2" s="1"/>
      <c r="H2" s="1"/>
    </row>
    <row r="4" spans="1:8" ht="15" customHeight="1" x14ac:dyDescent="0.3">
      <c r="A4" s="10" t="s">
        <v>416</v>
      </c>
    </row>
    <row r="5" spans="1:8" ht="15" customHeight="1" x14ac:dyDescent="0.3">
      <c r="A5" s="11" t="s">
        <v>396</v>
      </c>
      <c r="B5" s="11" t="s">
        <v>417</v>
      </c>
      <c r="C5" s="11" t="s">
        <v>418</v>
      </c>
      <c r="D5" s="11" t="s">
        <v>419</v>
      </c>
      <c r="E5" s="11" t="s">
        <v>420</v>
      </c>
      <c r="F5" s="11" t="s">
        <v>421</v>
      </c>
    </row>
    <row r="6" spans="1:8" ht="15" customHeight="1" x14ac:dyDescent="0.3">
      <c r="A6" s="12" t="s">
        <v>203</v>
      </c>
      <c r="B6" s="12">
        <f>COUNT('Raw Data (0-4 Scores)'!J2:J106)</f>
        <v>105</v>
      </c>
      <c r="C6" s="13">
        <f>AVERAGE('Raw Data (0-4 Scores)'!J2:J106)</f>
        <v>2.1242857142857141</v>
      </c>
      <c r="D6" s="13">
        <f>STDEV('Raw Data (0-4 Scores)'!J2:J106)</f>
        <v>1.1395941054931467</v>
      </c>
      <c r="E6" s="13">
        <f>MIN('Raw Data (0-4 Scores)'!J2:J106)</f>
        <v>0.12</v>
      </c>
      <c r="F6" s="13">
        <f>MAX('Raw Data (0-4 Scores)'!J2:J106)</f>
        <v>4</v>
      </c>
    </row>
    <row r="7" spans="1:8" ht="15" customHeight="1" x14ac:dyDescent="0.3">
      <c r="A7" s="12" t="s">
        <v>204</v>
      </c>
      <c r="B7" s="12">
        <f>COUNT('Raw Data (0-4 Scores)'!K2:K106)</f>
        <v>105</v>
      </c>
      <c r="C7" s="13">
        <f>AVERAGE('Raw Data (0-4 Scores)'!K2:K106)</f>
        <v>1.4403809523809528</v>
      </c>
      <c r="D7" s="13">
        <f>STDEV('Raw Data (0-4 Scores)'!K2:K106)</f>
        <v>0.84826624517931926</v>
      </c>
      <c r="E7" s="13">
        <f>MIN('Raw Data (0-4 Scores)'!K2:K106)</f>
        <v>0.16</v>
      </c>
      <c r="F7" s="13">
        <f>MAX('Raw Data (0-4 Scores)'!K2:K106)</f>
        <v>3.65</v>
      </c>
    </row>
    <row r="8" spans="1:8" ht="15" customHeight="1" x14ac:dyDescent="0.3">
      <c r="A8" s="12" t="s">
        <v>205</v>
      </c>
      <c r="B8" s="12">
        <f>COUNT('Raw Data (0-4 Scores)'!L2:L106)</f>
        <v>105</v>
      </c>
      <c r="C8" s="13">
        <f>AVERAGE('Raw Data (0-4 Scores)'!L2:L106)</f>
        <v>2.6140952380952371</v>
      </c>
      <c r="D8" s="13">
        <f>STDEV('Raw Data (0-4 Scores)'!L2:L106)</f>
        <v>0.86321480439969756</v>
      </c>
      <c r="E8" s="13">
        <f>MIN('Raw Data (0-4 Scores)'!L2:L106)</f>
        <v>0.54</v>
      </c>
      <c r="F8" s="13">
        <f>MAX('Raw Data (0-4 Scores)'!L2:L106)</f>
        <v>4</v>
      </c>
    </row>
    <row r="9" spans="1:8" ht="15" customHeight="1" x14ac:dyDescent="0.3">
      <c r="A9" s="12" t="s">
        <v>206</v>
      </c>
      <c r="B9" s="12">
        <f>COUNT('Raw Data (0-4 Scores)'!M2:M106)</f>
        <v>105</v>
      </c>
      <c r="C9" s="13">
        <f>AVERAGE('Raw Data (0-4 Scores)'!M2:M106)</f>
        <v>1.9675238095238103</v>
      </c>
      <c r="D9" s="13">
        <f>STDEV('Raw Data (0-4 Scores)'!M2:M106)</f>
        <v>0.84331623431680014</v>
      </c>
      <c r="E9" s="13">
        <f>MIN('Raw Data (0-4 Scores)'!M2:M106)</f>
        <v>0.44</v>
      </c>
      <c r="F9" s="13">
        <f>MAX('Raw Data (0-4 Scores)'!M2:M106)</f>
        <v>4</v>
      </c>
    </row>
    <row r="10" spans="1:8" ht="15" customHeight="1" x14ac:dyDescent="0.3">
      <c r="A10" s="12" t="s">
        <v>207</v>
      </c>
      <c r="B10" s="12">
        <f>COUNT('Raw Data (0-4 Scores)'!N2:N106)</f>
        <v>105</v>
      </c>
      <c r="C10" s="13">
        <f>AVERAGE('Raw Data (0-4 Scores)'!N2:N106)</f>
        <v>2.3773333333333335</v>
      </c>
      <c r="D10" s="13">
        <f>STDEV('Raw Data (0-4 Scores)'!N2:N106)</f>
        <v>0.92667443734059629</v>
      </c>
      <c r="E10" s="13">
        <f>MIN('Raw Data (0-4 Scores)'!N2:N106)</f>
        <v>0.65</v>
      </c>
      <c r="F10" s="13">
        <f>MAX('Raw Data (0-4 Scores)'!N2:N106)</f>
        <v>4</v>
      </c>
    </row>
    <row r="11" spans="1:8" ht="15" customHeight="1" x14ac:dyDescent="0.3">
      <c r="A11" s="12" t="s">
        <v>208</v>
      </c>
      <c r="B11" s="12">
        <f>COUNT('Raw Data (0-4 Scores)'!O2:O106)</f>
        <v>105</v>
      </c>
      <c r="C11" s="13">
        <f>AVERAGE('Raw Data (0-4 Scores)'!O2:O106)</f>
        <v>2.0699047619047612</v>
      </c>
      <c r="D11" s="13">
        <f>STDEV('Raw Data (0-4 Scores)'!O2:O106)</f>
        <v>1.0030640512163185</v>
      </c>
      <c r="E11" s="13">
        <f>MIN('Raw Data (0-4 Scores)'!O2:O106)</f>
        <v>0.49</v>
      </c>
      <c r="F11" s="13">
        <f>MAX('Raw Data (0-4 Scores)'!O2:O106)</f>
        <v>4</v>
      </c>
    </row>
    <row r="12" spans="1:8" ht="15" customHeight="1" x14ac:dyDescent="0.3">
      <c r="A12" s="12" t="s">
        <v>209</v>
      </c>
      <c r="B12" s="12">
        <f>COUNT('Raw Data (0-4 Scores)'!P2:P106)</f>
        <v>105</v>
      </c>
      <c r="C12" s="13">
        <f>AVERAGE('Raw Data (0-4 Scores)'!P2:P106)</f>
        <v>2.379428571428571</v>
      </c>
      <c r="D12" s="13">
        <f>STDEV('Raw Data (0-4 Scores)'!P2:P106)</f>
        <v>0.86073071435691706</v>
      </c>
      <c r="E12" s="13">
        <f>MIN('Raw Data (0-4 Scores)'!P2:P106)</f>
        <v>0.55000000000000004</v>
      </c>
      <c r="F12" s="13">
        <f>MAX('Raw Data (0-4 Scores)'!P2:P106)</f>
        <v>4</v>
      </c>
    </row>
    <row r="14" spans="1:8" ht="15" customHeight="1" x14ac:dyDescent="0.3">
      <c r="A14" s="10" t="s">
        <v>422</v>
      </c>
    </row>
    <row r="15" spans="1:8" ht="15" customHeight="1" x14ac:dyDescent="0.3">
      <c r="A15" s="9"/>
      <c r="B15" s="11" t="s">
        <v>203</v>
      </c>
      <c r="C15" s="11" t="s">
        <v>204</v>
      </c>
      <c r="D15" s="11" t="s">
        <v>205</v>
      </c>
      <c r="E15" s="11" t="s">
        <v>206</v>
      </c>
      <c r="F15" s="11" t="s">
        <v>207</v>
      </c>
      <c r="G15" s="11" t="s">
        <v>208</v>
      </c>
      <c r="H15" s="11" t="s">
        <v>209</v>
      </c>
    </row>
    <row r="16" spans="1:8" ht="15" customHeight="1" x14ac:dyDescent="0.3">
      <c r="A16" s="9" t="s">
        <v>203</v>
      </c>
      <c r="B16" s="14">
        <f>CORREL('Raw Data (0-4 Scores)'!J2:J106,'Raw Data (0-4 Scores)'!J2:J106)</f>
        <v>0.99999999999999978</v>
      </c>
      <c r="C16" s="14">
        <f>CORREL('Raw Data (0-4 Scores)'!J2:J106,'Raw Data (0-4 Scores)'!K2:K106)</f>
        <v>0.6413056212620234</v>
      </c>
      <c r="D16" s="14">
        <f>CORREL('Raw Data (0-4 Scores)'!J2:J106,'Raw Data (0-4 Scores)'!L2:L106)</f>
        <v>0.31269388637872914</v>
      </c>
      <c r="E16" s="14">
        <f>CORREL('Raw Data (0-4 Scores)'!J2:J106,'Raw Data (0-4 Scores)'!M2:M106)</f>
        <v>0.63777795443906082</v>
      </c>
      <c r="F16" s="14">
        <f>CORREL('Raw Data (0-4 Scores)'!J2:J106,'Raw Data (0-4 Scores)'!N2:N106)</f>
        <v>0.41031835899524977</v>
      </c>
      <c r="G16" s="14">
        <f>CORREL('Raw Data (0-4 Scores)'!J2:J106,'Raw Data (0-4 Scores)'!O2:O106)</f>
        <v>0.2763710077921025</v>
      </c>
      <c r="H16" s="14">
        <f>CORREL('Raw Data (0-4 Scores)'!J2:J106,'Raw Data (0-4 Scores)'!P2:P106)</f>
        <v>0.45266539878809398</v>
      </c>
    </row>
    <row r="17" spans="1:8" ht="15" customHeight="1" x14ac:dyDescent="0.3">
      <c r="A17" s="9" t="s">
        <v>204</v>
      </c>
      <c r="B17" s="14">
        <f>CORREL('Raw Data (0-4 Scores)'!K2:K106,'Raw Data (0-4 Scores)'!J2:J106)</f>
        <v>0.6413056212620234</v>
      </c>
      <c r="C17" s="14">
        <f>CORREL('Raw Data (0-4 Scores)'!K2:K106,'Raw Data (0-4 Scores)'!K2:K106)</f>
        <v>1.0000000000000002</v>
      </c>
      <c r="D17" s="14">
        <f>CORREL('Raw Data (0-4 Scores)'!K2:K106,'Raw Data (0-4 Scores)'!L2:L106)</f>
        <v>0.39638251582748735</v>
      </c>
      <c r="E17" s="14">
        <f>CORREL('Raw Data (0-4 Scores)'!K2:K106,'Raw Data (0-4 Scores)'!M2:M106)</f>
        <v>0.62220168964253819</v>
      </c>
      <c r="F17" s="14">
        <f>CORREL('Raw Data (0-4 Scores)'!K2:K106,'Raw Data (0-4 Scores)'!N2:N106)</f>
        <v>0.38036516816892246</v>
      </c>
      <c r="G17" s="14">
        <f>CORREL('Raw Data (0-4 Scores)'!K2:K106,'Raw Data (0-4 Scores)'!O2:O106)</f>
        <v>0.48197541215213552</v>
      </c>
      <c r="H17" s="14">
        <f>CORREL('Raw Data (0-4 Scores)'!K2:K106,'Raw Data (0-4 Scores)'!P2:P106)</f>
        <v>0.44642969340268007</v>
      </c>
    </row>
    <row r="18" spans="1:8" ht="15" customHeight="1" x14ac:dyDescent="0.3">
      <c r="A18" s="9" t="s">
        <v>205</v>
      </c>
      <c r="B18" s="14">
        <f>CORREL('Raw Data (0-4 Scores)'!L2:L106,'Raw Data (0-4 Scores)'!J2:J106)</f>
        <v>0.31269388637872914</v>
      </c>
      <c r="C18" s="14">
        <f>CORREL('Raw Data (0-4 Scores)'!L2:L106,'Raw Data (0-4 Scores)'!K2:K106)</f>
        <v>0.39638251582748735</v>
      </c>
      <c r="D18" s="14">
        <f>CORREL('Raw Data (0-4 Scores)'!L2:L106,'Raw Data (0-4 Scores)'!L2:L106)</f>
        <v>1.0000000000000002</v>
      </c>
      <c r="E18" s="14">
        <f>CORREL('Raw Data (0-4 Scores)'!L2:L106,'Raw Data (0-4 Scores)'!M2:M106)</f>
        <v>0.53143103456464402</v>
      </c>
      <c r="F18" s="14">
        <f>CORREL('Raw Data (0-4 Scores)'!L2:L106,'Raw Data (0-4 Scores)'!N2:N106)</f>
        <v>0.53720152460257631</v>
      </c>
      <c r="G18" s="14">
        <f>CORREL('Raw Data (0-4 Scores)'!L2:L106,'Raw Data (0-4 Scores)'!O2:O106)</f>
        <v>0.28096397474050794</v>
      </c>
      <c r="H18" s="14">
        <f>CORREL('Raw Data (0-4 Scores)'!L2:L106,'Raw Data (0-4 Scores)'!P2:P106)</f>
        <v>0.39243360554549628</v>
      </c>
    </row>
    <row r="19" spans="1:8" ht="15" customHeight="1" x14ac:dyDescent="0.3">
      <c r="A19" s="9" t="s">
        <v>206</v>
      </c>
      <c r="B19" s="14">
        <f>CORREL('Raw Data (0-4 Scores)'!M2:M106,'Raw Data (0-4 Scores)'!J2:J106)</f>
        <v>0.63777795443906082</v>
      </c>
      <c r="C19" s="14">
        <f>CORREL('Raw Data (0-4 Scores)'!M2:M106,'Raw Data (0-4 Scores)'!K2:K106)</f>
        <v>0.62220168964253819</v>
      </c>
      <c r="D19" s="14">
        <f>CORREL('Raw Data (0-4 Scores)'!M2:M106,'Raw Data (0-4 Scores)'!L2:L106)</f>
        <v>0.53143103456464402</v>
      </c>
      <c r="E19" s="14">
        <f>CORREL('Raw Data (0-4 Scores)'!M2:M106,'Raw Data (0-4 Scores)'!M2:M106)</f>
        <v>1</v>
      </c>
      <c r="F19" s="14">
        <f>CORREL('Raw Data (0-4 Scores)'!M2:M106,'Raw Data (0-4 Scores)'!N2:N106)</f>
        <v>0.61844110128937868</v>
      </c>
      <c r="G19" s="14">
        <f>CORREL('Raw Data (0-4 Scores)'!M2:M106,'Raw Data (0-4 Scores)'!O2:O106)</f>
        <v>0.60272698626081778</v>
      </c>
      <c r="H19" s="14">
        <f>CORREL('Raw Data (0-4 Scores)'!M2:M106,'Raw Data (0-4 Scores)'!P2:P106)</f>
        <v>0.66462919428166123</v>
      </c>
    </row>
    <row r="20" spans="1:8" ht="15" customHeight="1" x14ac:dyDescent="0.3">
      <c r="A20" s="9" t="s">
        <v>207</v>
      </c>
      <c r="B20" s="14">
        <f>CORREL('Raw Data (0-4 Scores)'!N2:N106,'Raw Data (0-4 Scores)'!J2:J106)</f>
        <v>0.41031835899524977</v>
      </c>
      <c r="C20" s="14">
        <f>CORREL('Raw Data (0-4 Scores)'!N2:N106,'Raw Data (0-4 Scores)'!K2:K106)</f>
        <v>0.38036516816892246</v>
      </c>
      <c r="D20" s="14">
        <f>CORREL('Raw Data (0-4 Scores)'!N2:N106,'Raw Data (0-4 Scores)'!L2:L106)</f>
        <v>0.53720152460257631</v>
      </c>
      <c r="E20" s="14">
        <f>CORREL('Raw Data (0-4 Scores)'!N2:N106,'Raw Data (0-4 Scores)'!M2:M106)</f>
        <v>0.61844110128937868</v>
      </c>
      <c r="F20" s="14">
        <f>CORREL('Raw Data (0-4 Scores)'!N2:N106,'Raw Data (0-4 Scores)'!N2:N106)</f>
        <v>1.0000000000000002</v>
      </c>
      <c r="G20" s="14">
        <f>CORREL('Raw Data (0-4 Scores)'!N2:N106,'Raw Data (0-4 Scores)'!O2:O106)</f>
        <v>0.42037974651796112</v>
      </c>
      <c r="H20" s="14">
        <f>CORREL('Raw Data (0-4 Scores)'!N2:N106,'Raw Data (0-4 Scores)'!P2:P106)</f>
        <v>0.66525120346990219</v>
      </c>
    </row>
    <row r="21" spans="1:8" ht="15" customHeight="1" x14ac:dyDescent="0.3">
      <c r="A21" s="9" t="s">
        <v>208</v>
      </c>
      <c r="B21" s="14">
        <f>CORREL('Raw Data (0-4 Scores)'!O2:O106,'Raw Data (0-4 Scores)'!J2:J106)</f>
        <v>0.2763710077921025</v>
      </c>
      <c r="C21" s="14">
        <f>CORREL('Raw Data (0-4 Scores)'!O2:O106,'Raw Data (0-4 Scores)'!K2:K106)</f>
        <v>0.48197541215213552</v>
      </c>
      <c r="D21" s="14">
        <f>CORREL('Raw Data (0-4 Scores)'!O2:O106,'Raw Data (0-4 Scores)'!L2:L106)</f>
        <v>0.28096397474050794</v>
      </c>
      <c r="E21" s="14">
        <f>CORREL('Raw Data (0-4 Scores)'!O2:O106,'Raw Data (0-4 Scores)'!M2:M106)</f>
        <v>0.60272698626081778</v>
      </c>
      <c r="F21" s="14">
        <f>CORREL('Raw Data (0-4 Scores)'!O2:O106,'Raw Data (0-4 Scores)'!N2:N106)</f>
        <v>0.42037974651796112</v>
      </c>
      <c r="G21" s="14">
        <f>CORREL('Raw Data (0-4 Scores)'!O2:O106,'Raw Data (0-4 Scores)'!O2:O106)</f>
        <v>1</v>
      </c>
      <c r="H21" s="14">
        <f>CORREL('Raw Data (0-4 Scores)'!O2:O106,'Raw Data (0-4 Scores)'!P2:P106)</f>
        <v>0.62922508845509795</v>
      </c>
    </row>
    <row r="22" spans="1:8" ht="15" customHeight="1" x14ac:dyDescent="0.3">
      <c r="A22" s="9" t="s">
        <v>209</v>
      </c>
      <c r="B22" s="14">
        <f>CORREL('Raw Data (0-4 Scores)'!P2:P106,'Raw Data (0-4 Scores)'!J2:J106)</f>
        <v>0.45266539878809398</v>
      </c>
      <c r="C22" s="14">
        <f>CORREL('Raw Data (0-4 Scores)'!P2:P106,'Raw Data (0-4 Scores)'!K2:K106)</f>
        <v>0.44642969340268007</v>
      </c>
      <c r="D22" s="14">
        <f>CORREL('Raw Data (0-4 Scores)'!P2:P106,'Raw Data (0-4 Scores)'!L2:L106)</f>
        <v>0.39243360554549628</v>
      </c>
      <c r="E22" s="14">
        <f>CORREL('Raw Data (0-4 Scores)'!P2:P106,'Raw Data (0-4 Scores)'!M2:M106)</f>
        <v>0.66462919428166123</v>
      </c>
      <c r="F22" s="14">
        <f>CORREL('Raw Data (0-4 Scores)'!P2:P106,'Raw Data (0-4 Scores)'!N2:N106)</f>
        <v>0.66525120346990219</v>
      </c>
      <c r="G22" s="14">
        <f>CORREL('Raw Data (0-4 Scores)'!P2:P106,'Raw Data (0-4 Scores)'!O2:O106)</f>
        <v>0.62922508845509795</v>
      </c>
      <c r="H22" s="14">
        <f>CORREL('Raw Data (0-4 Scores)'!P2:P106,'Raw Data (0-4 Scores)'!P2:P106)</f>
        <v>1</v>
      </c>
    </row>
  </sheetData>
  <mergeCells count="1">
    <mergeCell ref="A2:H2"/>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23"/>
  <sheetViews>
    <sheetView zoomScaleNormal="100" workbookViewId="0">
      <pane ySplit="1" topLeftCell="A2" activePane="bottomLeft" state="frozen"/>
      <selection pane="bottomLeft"/>
    </sheetView>
  </sheetViews>
  <sheetFormatPr defaultColWidth="8.6640625" defaultRowHeight="14.4" x14ac:dyDescent="0.3"/>
  <cols>
    <col min="1" max="1" width="52" customWidth="1"/>
    <col min="2" max="7" width="14" customWidth="1"/>
    <col min="8" max="8" width="30" customWidth="1"/>
  </cols>
  <sheetData>
    <row r="1" spans="1:8" ht="15.75" customHeight="1" x14ac:dyDescent="0.35">
      <c r="A1" s="5" t="s">
        <v>423</v>
      </c>
    </row>
    <row r="2" spans="1:8" ht="15" customHeight="1" x14ac:dyDescent="0.3">
      <c r="A2" s="15" t="s">
        <v>424</v>
      </c>
    </row>
    <row r="3" spans="1:8" ht="15" customHeight="1" x14ac:dyDescent="0.3">
      <c r="A3" s="7" t="s">
        <v>425</v>
      </c>
    </row>
    <row r="4" spans="1:8" ht="15" customHeight="1" x14ac:dyDescent="0.3">
      <c r="A4" t="s">
        <v>426</v>
      </c>
      <c r="B4" s="16">
        <v>2</v>
      </c>
      <c r="C4" s="15" t="s">
        <v>427</v>
      </c>
    </row>
    <row r="5" spans="1:8" ht="15" customHeight="1" x14ac:dyDescent="0.3">
      <c r="A5" t="s">
        <v>428</v>
      </c>
      <c r="B5" s="16">
        <v>2</v>
      </c>
      <c r="C5" s="15" t="s">
        <v>429</v>
      </c>
    </row>
    <row r="6" spans="1:8" ht="15" customHeight="1" x14ac:dyDescent="0.3">
      <c r="A6" t="s">
        <v>430</v>
      </c>
      <c r="B6" s="16">
        <v>0.8</v>
      </c>
      <c r="C6" s="15" t="s">
        <v>431</v>
      </c>
    </row>
    <row r="7" spans="1:8" ht="15" customHeight="1" x14ac:dyDescent="0.3">
      <c r="A7" t="s">
        <v>432</v>
      </c>
      <c r="B7" s="16">
        <v>0.5</v>
      </c>
      <c r="C7" s="15" t="s">
        <v>433</v>
      </c>
    </row>
    <row r="8" spans="1:8" ht="15" customHeight="1" x14ac:dyDescent="0.3">
      <c r="A8" t="s">
        <v>434</v>
      </c>
      <c r="B8">
        <f>LN(19)</f>
        <v>2.9444389791664403</v>
      </c>
      <c r="C8" s="15" t="s">
        <v>435</v>
      </c>
    </row>
    <row r="9" spans="1:8" ht="15" customHeight="1" x14ac:dyDescent="0.3">
      <c r="A9" t="s">
        <v>436</v>
      </c>
      <c r="B9" s="16">
        <v>0.501</v>
      </c>
      <c r="C9" s="15" t="s">
        <v>437</v>
      </c>
    </row>
    <row r="10" spans="1:8" ht="15" customHeight="1" x14ac:dyDescent="0.3">
      <c r="A10" t="s">
        <v>438</v>
      </c>
      <c r="B10" s="16">
        <v>2</v>
      </c>
      <c r="C10" s="15" t="s">
        <v>439</v>
      </c>
    </row>
    <row r="11" spans="1:8" ht="15" customHeight="1" x14ac:dyDescent="0.3">
      <c r="A11" t="s">
        <v>440</v>
      </c>
      <c r="B11" s="16">
        <v>0.8</v>
      </c>
    </row>
    <row r="13" spans="1:8" ht="15" customHeight="1" x14ac:dyDescent="0.3">
      <c r="A13" s="7" t="s">
        <v>441</v>
      </c>
    </row>
    <row r="14" spans="1:8" ht="15" customHeight="1" x14ac:dyDescent="0.3">
      <c r="A14" s="17" t="s">
        <v>396</v>
      </c>
      <c r="B14" s="17" t="s">
        <v>442</v>
      </c>
      <c r="C14" s="17" t="s">
        <v>443</v>
      </c>
      <c r="D14" s="17" t="s">
        <v>444</v>
      </c>
      <c r="E14" s="17" t="s">
        <v>445</v>
      </c>
      <c r="F14" s="17" t="s">
        <v>446</v>
      </c>
      <c r="G14" s="17" t="s">
        <v>447</v>
      </c>
      <c r="H14" s="17" t="s">
        <v>448</v>
      </c>
    </row>
    <row r="15" spans="1:8" ht="15" customHeight="1" x14ac:dyDescent="0.3">
      <c r="A15" t="s">
        <v>203</v>
      </c>
      <c r="B15" s="18">
        <f>PERCENTILE('Raw Data (0-4 Scores)'!$J$2:$J$106,0.05)</f>
        <v>0.5</v>
      </c>
      <c r="C15" s="18">
        <f>PERCENTILE('Raw Data (0-4 Scores)'!$J$2:$J$106,0.5)</f>
        <v>2.0299999999999998</v>
      </c>
      <c r="D15" s="18">
        <f>PERCENTILE('Raw Data (0-4 Scores)'!$J$2:$J$106,0.95)</f>
        <v>4</v>
      </c>
      <c r="E15" s="19">
        <v>1</v>
      </c>
      <c r="F15" s="19">
        <v>2</v>
      </c>
      <c r="G15" s="19">
        <v>3</v>
      </c>
      <c r="H15" t="str">
        <f>IF(AND(ABS(B15-'Calibration Anchors'!B2)&lt;0.0005,ABS(C15-'Calibration Anchors'!C2)&lt;0.0005,ABS(D15-'Calibration Anchors'!D2)&lt;0.0005),"OK","CHECK")</f>
        <v>OK</v>
      </c>
    </row>
    <row r="16" spans="1:8" ht="15" customHeight="1" x14ac:dyDescent="0.3">
      <c r="A16" t="s">
        <v>204</v>
      </c>
      <c r="B16" s="18">
        <f>PERCENTILE('Raw Data (0-4 Scores)'!$K$2:$K$106,0.05)</f>
        <v>0.47000000000000003</v>
      </c>
      <c r="C16" s="18">
        <f>PERCENTILE('Raw Data (0-4 Scores)'!$K$2:$K$106,0.5)</f>
        <v>1.1399999999999999</v>
      </c>
      <c r="D16" s="18">
        <f>PERCENTILE('Raw Data (0-4 Scores)'!$K$2:$K$106,0.95)</f>
        <v>3.1440000000000001</v>
      </c>
      <c r="E16" s="19">
        <v>1</v>
      </c>
      <c r="F16" s="19">
        <v>2</v>
      </c>
      <c r="G16" s="19">
        <v>3</v>
      </c>
      <c r="H16" t="str">
        <f>IF(AND(ABS(B16-'Calibration Anchors'!B3)&lt;0.0005,ABS(C16-'Calibration Anchors'!C3)&lt;0.0005,ABS(D16-'Calibration Anchors'!D3)&lt;0.0005),"OK","CHECK")</f>
        <v>OK</v>
      </c>
    </row>
    <row r="17" spans="1:8" ht="15" customHeight="1" x14ac:dyDescent="0.3">
      <c r="A17" t="s">
        <v>205</v>
      </c>
      <c r="B17" s="18">
        <f>PERCENTILE('Raw Data (0-4 Scores)'!$L$2:$L$106,0.05)</f>
        <v>0.96199999999999997</v>
      </c>
      <c r="C17" s="18">
        <f>PERCENTILE('Raw Data (0-4 Scores)'!$L$2:$L$106,0.5)</f>
        <v>2.85</v>
      </c>
      <c r="D17" s="18">
        <f>PERCENTILE('Raw Data (0-4 Scores)'!$L$2:$L$106,0.95)</f>
        <v>4</v>
      </c>
      <c r="E17" s="19">
        <v>1</v>
      </c>
      <c r="F17" s="19">
        <v>2</v>
      </c>
      <c r="G17" s="19">
        <v>3</v>
      </c>
      <c r="H17" t="str">
        <f>IF(AND(ABS(B17-'Calibration Anchors'!B4)&lt;0.0005,ABS(C17-'Calibration Anchors'!C4)&lt;0.0005,ABS(D17-'Calibration Anchors'!D4)&lt;0.0005),"OK","CHECK")</f>
        <v>OK</v>
      </c>
    </row>
    <row r="18" spans="1:8" ht="15" customHeight="1" x14ac:dyDescent="0.3">
      <c r="A18" t="s">
        <v>206</v>
      </c>
      <c r="B18" s="18">
        <f>PERCENTILE('Raw Data (0-4 Scores)'!$M$2:$M$106,0.05)</f>
        <v>0.69399999999999995</v>
      </c>
      <c r="C18" s="18">
        <f>PERCENTILE('Raw Data (0-4 Scores)'!$M$2:$M$106,0.5)</f>
        <v>1.9</v>
      </c>
      <c r="D18" s="18">
        <f>PERCENTILE('Raw Data (0-4 Scores)'!$M$2:$M$106,0.95)</f>
        <v>3.4699999999999998</v>
      </c>
      <c r="E18" s="19">
        <v>1</v>
      </c>
      <c r="F18" s="19">
        <v>2</v>
      </c>
      <c r="G18" s="19">
        <v>3</v>
      </c>
      <c r="H18" t="str">
        <f>IF(AND(ABS(B18-'Calibration Anchors'!B5)&lt;0.0005,ABS(C18-'Calibration Anchors'!C5)&lt;0.0005,ABS(D18-'Calibration Anchors'!D5)&lt;0.0005),"OK","CHECK")</f>
        <v>OK</v>
      </c>
    </row>
    <row r="19" spans="1:8" ht="15" customHeight="1" x14ac:dyDescent="0.3">
      <c r="A19" t="s">
        <v>207</v>
      </c>
      <c r="B19" s="18">
        <f>PERCENTILE('Raw Data (0-4 Scores)'!$N$2:$N$106,0.05)</f>
        <v>0.94200000000000006</v>
      </c>
      <c r="C19" s="18">
        <f>PERCENTILE('Raw Data (0-4 Scores)'!$N$2:$N$106,0.5)</f>
        <v>2.36</v>
      </c>
      <c r="D19" s="18">
        <f>PERCENTILE('Raw Data (0-4 Scores)'!$N$2:$N$106,0.95)</f>
        <v>4</v>
      </c>
      <c r="E19" s="19">
        <v>1</v>
      </c>
      <c r="F19" s="19">
        <v>2</v>
      </c>
      <c r="G19" s="19">
        <v>3</v>
      </c>
      <c r="H19" t="str">
        <f>IF(AND(ABS(B19-'Calibration Anchors'!B6)&lt;0.0005,ABS(C19-'Calibration Anchors'!C6)&lt;0.0005,ABS(D19-'Calibration Anchors'!D6)&lt;0.0005),"OK","CHECK")</f>
        <v>OK</v>
      </c>
    </row>
    <row r="20" spans="1:8" ht="15" customHeight="1" x14ac:dyDescent="0.3">
      <c r="A20" t="s">
        <v>208</v>
      </c>
      <c r="B20" s="18">
        <f>PERCENTILE('Raw Data (0-4 Scores)'!$O$2:$O$106,0.05)</f>
        <v>0.79400000000000004</v>
      </c>
      <c r="C20" s="18">
        <f>PERCENTILE('Raw Data (0-4 Scores)'!$O$2:$O$106,0.5)</f>
        <v>1.93</v>
      </c>
      <c r="D20" s="18">
        <f>PERCENTILE('Raw Data (0-4 Scores)'!$O$2:$O$106,0.95)</f>
        <v>4</v>
      </c>
      <c r="E20" s="19">
        <v>1</v>
      </c>
      <c r="F20" s="19">
        <v>2</v>
      </c>
      <c r="G20" s="19">
        <v>3</v>
      </c>
      <c r="H20" t="str">
        <f>IF(AND(ABS(B20-'Calibration Anchors'!B7)&lt;0.0005,ABS(C20-'Calibration Anchors'!C7)&lt;0.0005,ABS(D20-'Calibration Anchors'!D7)&lt;0.0005),"OK","CHECK")</f>
        <v>OK</v>
      </c>
    </row>
    <row r="21" spans="1:8" ht="15" customHeight="1" x14ac:dyDescent="0.3">
      <c r="A21" t="s">
        <v>209</v>
      </c>
      <c r="B21" s="18">
        <f>PERCENTILE('Raw Data (0-4 Scores)'!$P$2:$P$106,0.05)</f>
        <v>0.96</v>
      </c>
      <c r="C21" s="18">
        <f>PERCENTILE('Raw Data (0-4 Scores)'!$P$2:$P$106,0.5)</f>
        <v>2.4300000000000002</v>
      </c>
      <c r="D21" s="18">
        <f>PERCENTILE('Raw Data (0-4 Scores)'!$P$2:$P$106,0.95)</f>
        <v>3.7559999999999998</v>
      </c>
      <c r="E21" s="19">
        <v>1</v>
      </c>
      <c r="F21" s="19">
        <v>2</v>
      </c>
      <c r="G21" s="19">
        <v>3</v>
      </c>
      <c r="H21" t="str">
        <f>IF(AND(ABS(B21-'Calibration Anchors'!B8)&lt;0.0005,ABS(C21-'Calibration Anchors'!C8)&lt;0.0005,ABS(D21-'Calibration Anchors'!D8)&lt;0.0005),"OK","CHECK")</f>
        <v>OK</v>
      </c>
    </row>
    <row r="23" spans="1:8" ht="15" customHeight="1" x14ac:dyDescent="0.3">
      <c r="A23" s="15" t="s">
        <v>449</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106"/>
  <sheetViews>
    <sheetView zoomScaleNormal="100" workbookViewId="0">
      <pane xSplit="2" ySplit="1" topLeftCell="C2" activePane="bottomRight" state="frozen"/>
      <selection pane="topRight" activeCell="C1" sqref="C1"/>
      <selection pane="bottomLeft" activeCell="A2" sqref="A2"/>
      <selection pane="bottomRight"/>
    </sheetView>
  </sheetViews>
  <sheetFormatPr defaultColWidth="8.6640625" defaultRowHeight="14.4" x14ac:dyDescent="0.3"/>
  <cols>
    <col min="1" max="1" width="40" customWidth="1"/>
    <col min="2" max="10" width="12" customWidth="1"/>
  </cols>
  <sheetData>
    <row r="1" spans="1:10" ht="27.75" customHeight="1" x14ac:dyDescent="0.3">
      <c r="A1" s="17" t="s">
        <v>79</v>
      </c>
      <c r="B1" s="17" t="s">
        <v>198</v>
      </c>
      <c r="C1" s="17" t="s">
        <v>400</v>
      </c>
      <c r="D1" s="17" t="s">
        <v>401</v>
      </c>
      <c r="E1" s="17" t="s">
        <v>402</v>
      </c>
      <c r="F1" s="17" t="s">
        <v>403</v>
      </c>
      <c r="G1" s="17" t="s">
        <v>404</v>
      </c>
      <c r="H1" s="17" t="s">
        <v>405</v>
      </c>
      <c r="I1" s="17" t="s">
        <v>406</v>
      </c>
      <c r="J1" s="17" t="s">
        <v>450</v>
      </c>
    </row>
    <row r="2" spans="1:10" ht="15" customHeight="1" x14ac:dyDescent="0.3">
      <c r="A2" s="20" t="str">
        <f>'Fuzzy Scores (Source)'!A2</f>
        <v>AEM Holdings</v>
      </c>
      <c r="B2" s="20">
        <f>'Fuzzy Scores (Source)'!C2</f>
        <v>2023</v>
      </c>
      <c r="C2" s="21">
        <f>'Fuzzy Scores (Source)'!D2</f>
        <v>0.59234299999999995</v>
      </c>
      <c r="D2" s="21">
        <f>'Fuzzy Scores (Source)'!E2</f>
        <v>3.7253000000000001E-2</v>
      </c>
      <c r="E2" s="21">
        <f>'Fuzzy Scores (Source)'!F2</f>
        <v>0.14846400000000001</v>
      </c>
      <c r="F2" s="21">
        <f>'Fuzzy Scores (Source)'!G2</f>
        <v>0.27356799999999998</v>
      </c>
      <c r="G2" s="21">
        <f>'Fuzzy Scores (Source)'!H2</f>
        <v>3.2779000000000003E-2</v>
      </c>
      <c r="H2" s="21">
        <f>'Fuzzy Scores (Source)'!I2</f>
        <v>0.143265</v>
      </c>
      <c r="I2" s="21">
        <f>'Fuzzy Scores (Source)'!J2</f>
        <v>0.16764399999999999</v>
      </c>
      <c r="J2" s="22">
        <f t="shared" ref="J2:J33" si="0">MIN(I2,1-I2)</f>
        <v>0.16764399999999999</v>
      </c>
    </row>
    <row r="3" spans="1:10" ht="15" customHeight="1" x14ac:dyDescent="0.3">
      <c r="A3" s="20" t="str">
        <f>'Fuzzy Scores (Source)'!A3</f>
        <v>AEM Holdings</v>
      </c>
      <c r="B3" s="20">
        <f>'Fuzzy Scores (Source)'!C3</f>
        <v>2024</v>
      </c>
      <c r="C3" s="21">
        <f>'Fuzzy Scores (Source)'!D3</f>
        <v>0.81899999999999995</v>
      </c>
      <c r="D3" s="21">
        <f>'Fuzzy Scores (Source)'!E3</f>
        <v>0.24184</v>
      </c>
      <c r="E3" s="21">
        <f>'Fuzzy Scores (Source)'!F3</f>
        <v>0.162801</v>
      </c>
      <c r="F3" s="21">
        <f>'Fuzzy Scores (Source)'!G3</f>
        <v>0.46344299999999999</v>
      </c>
      <c r="G3" s="21">
        <f>'Fuzzy Scores (Source)'!H3</f>
        <v>4.7874E-2</v>
      </c>
      <c r="H3" s="21">
        <f>'Fuzzy Scores (Source)'!I3</f>
        <v>6.3232999999999998E-2</v>
      </c>
      <c r="I3" s="21">
        <f>'Fuzzy Scores (Source)'!J3</f>
        <v>0.242004</v>
      </c>
      <c r="J3" s="22">
        <f t="shared" si="0"/>
        <v>0.242004</v>
      </c>
    </row>
    <row r="4" spans="1:10" ht="15" customHeight="1" x14ac:dyDescent="0.3">
      <c r="A4" s="20" t="str">
        <f>'Fuzzy Scores (Source)'!A4</f>
        <v>AEM Holdings</v>
      </c>
      <c r="B4" s="20">
        <f>'Fuzzy Scores (Source)'!C4</f>
        <v>2025</v>
      </c>
      <c r="C4" s="21">
        <f>'Fuzzy Scores (Source)'!D4</f>
        <v>0.83399500000000004</v>
      </c>
      <c r="D4" s="21">
        <f>'Fuzzy Scores (Source)'!E4</f>
        <v>0.43445899999999998</v>
      </c>
      <c r="E4" s="21">
        <f>'Fuzzy Scores (Source)'!F4</f>
        <v>0.223108</v>
      </c>
      <c r="F4" s="21">
        <f>'Fuzzy Scores (Source)'!G4</f>
        <v>0.737205</v>
      </c>
      <c r="G4" s="21">
        <f>'Fuzzy Scores (Source)'!H4</f>
        <v>8.5709999999999995E-2</v>
      </c>
      <c r="H4" s="21">
        <f>'Fuzzy Scores (Source)'!I4</f>
        <v>0.29831400000000002</v>
      </c>
      <c r="I4" s="21">
        <f>'Fuzzy Scores (Source)'!J4</f>
        <v>0.36335200000000001</v>
      </c>
      <c r="J4" s="22">
        <f t="shared" si="0"/>
        <v>0.36335200000000001</v>
      </c>
    </row>
    <row r="5" spans="1:10" ht="15" customHeight="1" x14ac:dyDescent="0.3">
      <c r="A5" s="20" t="str">
        <f>'Fuzzy Scores (Source)'!A5</f>
        <v>ASE Technology Holding</v>
      </c>
      <c r="B5" s="20">
        <f>'Fuzzy Scores (Source)'!C5</f>
        <v>2023</v>
      </c>
      <c r="C5" s="21">
        <f>'Fuzzy Scores (Source)'!D5</f>
        <v>0.27643099999999998</v>
      </c>
      <c r="D5" s="21">
        <f>'Fuzzy Scores (Source)'!E5</f>
        <v>8.1879999999999994E-2</v>
      </c>
      <c r="E5" s="21">
        <f>'Fuzzy Scores (Source)'!F5</f>
        <v>0.47273500000000002</v>
      </c>
      <c r="F5" s="21">
        <f>'Fuzzy Scores (Source)'!G5</f>
        <v>0.34642600000000001</v>
      </c>
      <c r="G5" s="21">
        <f>'Fuzzy Scores (Source)'!H5</f>
        <v>0.89774500000000002</v>
      </c>
      <c r="H5" s="21">
        <f>'Fuzzy Scores (Source)'!I5</f>
        <v>0.57412700000000005</v>
      </c>
      <c r="I5" s="21">
        <f>'Fuzzy Scores (Source)'!J5</f>
        <v>0.78000700000000001</v>
      </c>
      <c r="J5" s="22">
        <f t="shared" si="0"/>
        <v>0.21999299999999999</v>
      </c>
    </row>
    <row r="6" spans="1:10" ht="15" customHeight="1" x14ac:dyDescent="0.3">
      <c r="A6" s="20" t="str">
        <f>'Fuzzy Scores (Source)'!A6</f>
        <v>ASE Technology Holding</v>
      </c>
      <c r="B6" s="20">
        <f>'Fuzzy Scores (Source)'!C6</f>
        <v>2024</v>
      </c>
      <c r="C6" s="21">
        <f>'Fuzzy Scores (Source)'!D6</f>
        <v>0.50747299999999995</v>
      </c>
      <c r="D6" s="21">
        <f>'Fuzzy Scores (Source)'!E6</f>
        <v>0.44528600000000002</v>
      </c>
      <c r="E6" s="21">
        <f>'Fuzzy Scores (Source)'!F6</f>
        <v>0.67754499999999995</v>
      </c>
      <c r="F6" s="21">
        <f>'Fuzzy Scores (Source)'!G6</f>
        <v>0.55602700000000005</v>
      </c>
      <c r="G6" s="21">
        <f>'Fuzzy Scores (Source)'!H6</f>
        <v>0.95</v>
      </c>
      <c r="H6" s="21">
        <f>'Fuzzy Scores (Source)'!I6</f>
        <v>0.44834600000000002</v>
      </c>
      <c r="I6" s="21">
        <f>'Fuzzy Scores (Source)'!J6</f>
        <v>0.74801700000000004</v>
      </c>
      <c r="J6" s="22">
        <f t="shared" si="0"/>
        <v>0.25198299999999996</v>
      </c>
    </row>
    <row r="7" spans="1:10" ht="15" customHeight="1" x14ac:dyDescent="0.3">
      <c r="A7" s="20" t="str">
        <f>'Fuzzy Scores (Source)'!A7</f>
        <v>ASE Technology Holding</v>
      </c>
      <c r="B7" s="20">
        <f>'Fuzzy Scores (Source)'!C7</f>
        <v>2025</v>
      </c>
      <c r="C7" s="21">
        <f>'Fuzzy Scores (Source)'!D7</f>
        <v>0.447274</v>
      </c>
      <c r="D7" s="21">
        <f>'Fuzzy Scores (Source)'!E7</f>
        <v>0.57653100000000002</v>
      </c>
      <c r="E7" s="21">
        <f>'Fuzzy Scores (Source)'!F7</f>
        <v>0.64896500000000001</v>
      </c>
      <c r="F7" s="21">
        <f>'Fuzzy Scores (Source)'!G7</f>
        <v>0.56526600000000005</v>
      </c>
      <c r="G7" s="21">
        <f>'Fuzzy Scores (Source)'!H7</f>
        <v>0.95</v>
      </c>
      <c r="H7" s="21">
        <f>'Fuzzy Scores (Source)'!I7</f>
        <v>0.62861999999999996</v>
      </c>
      <c r="I7" s="21">
        <f>'Fuzzy Scores (Source)'!J7</f>
        <v>0.85248500000000005</v>
      </c>
      <c r="J7" s="22">
        <f t="shared" si="0"/>
        <v>0.14751499999999995</v>
      </c>
    </row>
    <row r="8" spans="1:10" ht="15" customHeight="1" x14ac:dyDescent="0.3">
      <c r="A8" s="20" t="str">
        <f>'Fuzzy Scores (Source)'!A8</f>
        <v>Advanced Micro Devices</v>
      </c>
      <c r="B8" s="20">
        <f>'Fuzzy Scores (Source)'!C8</f>
        <v>2023</v>
      </c>
      <c r="C8" s="21">
        <f>'Fuzzy Scores (Source)'!D8</f>
        <v>0.88264900000000002</v>
      </c>
      <c r="D8" s="21">
        <f>'Fuzzy Scores (Source)'!E8</f>
        <v>0.91530800000000001</v>
      </c>
      <c r="E8" s="21">
        <f>'Fuzzy Scores (Source)'!F8</f>
        <v>0.55102899999999999</v>
      </c>
      <c r="F8" s="21">
        <f>'Fuzzy Scores (Source)'!G8</f>
        <v>0.48779499999999998</v>
      </c>
      <c r="G8" s="21">
        <f>'Fuzzy Scores (Source)'!H8</f>
        <v>0.61036500000000005</v>
      </c>
      <c r="H8" s="21">
        <f>'Fuzzy Scores (Source)'!I8</f>
        <v>0.44834600000000002</v>
      </c>
      <c r="I8" s="21">
        <f>'Fuzzy Scores (Source)'!J8</f>
        <v>0.78379399999999999</v>
      </c>
      <c r="J8" s="22">
        <f t="shared" si="0"/>
        <v>0.21620600000000001</v>
      </c>
    </row>
    <row r="9" spans="1:10" ht="15" customHeight="1" x14ac:dyDescent="0.3">
      <c r="A9" s="20" t="str">
        <f>'Fuzzy Scores (Source)'!A9</f>
        <v>Advanced Micro Devices</v>
      </c>
      <c r="B9" s="20">
        <f>'Fuzzy Scores (Source)'!C9</f>
        <v>2024</v>
      </c>
      <c r="C9" s="21">
        <f>'Fuzzy Scores (Source)'!D9</f>
        <v>0.95</v>
      </c>
      <c r="D9" s="21">
        <f>'Fuzzy Scores (Source)'!E9</f>
        <v>0.91300199999999998</v>
      </c>
      <c r="E9" s="21">
        <f>'Fuzzy Scores (Source)'!F9</f>
        <v>0.67192600000000002</v>
      </c>
      <c r="F9" s="21">
        <f>'Fuzzy Scores (Source)'!G9</f>
        <v>0.56526600000000005</v>
      </c>
      <c r="G9" s="21">
        <f>'Fuzzy Scores (Source)'!H9</f>
        <v>0.79060699999999995</v>
      </c>
      <c r="H9" s="21">
        <f>'Fuzzy Scores (Source)'!I9</f>
        <v>0.48057</v>
      </c>
      <c r="I9" s="21">
        <f>'Fuzzy Scores (Source)'!J9</f>
        <v>0.85798300000000005</v>
      </c>
      <c r="J9" s="22">
        <f t="shared" si="0"/>
        <v>0.14201699999999995</v>
      </c>
    </row>
    <row r="10" spans="1:10" ht="15" customHeight="1" x14ac:dyDescent="0.3">
      <c r="A10" s="20" t="str">
        <f>'Fuzzy Scores (Source)'!A10</f>
        <v>Advanced Micro Devices</v>
      </c>
      <c r="B10" s="20">
        <f>'Fuzzy Scores (Source)'!C10</f>
        <v>2025</v>
      </c>
      <c r="C10" s="21">
        <f>'Fuzzy Scores (Source)'!D10</f>
        <v>0.95</v>
      </c>
      <c r="D10" s="21">
        <f>'Fuzzy Scores (Source)'!E10</f>
        <v>0.95376700000000003</v>
      </c>
      <c r="E10" s="21">
        <f>'Fuzzy Scores (Source)'!F10</f>
        <v>0.77809300000000003</v>
      </c>
      <c r="F10" s="21">
        <f>'Fuzzy Scores (Source)'!G10</f>
        <v>0.75496399999999997</v>
      </c>
      <c r="G10" s="21">
        <f>'Fuzzy Scores (Source)'!H10</f>
        <v>0.79060699999999995</v>
      </c>
      <c r="H10" s="21">
        <f>'Fuzzy Scores (Source)'!I10</f>
        <v>0.64506600000000003</v>
      </c>
      <c r="I10" s="21">
        <f>'Fuzzy Scores (Source)'!J10</f>
        <v>0.90207899999999996</v>
      </c>
      <c r="J10" s="22">
        <f t="shared" si="0"/>
        <v>9.7921000000000036E-2</v>
      </c>
    </row>
    <row r="11" spans="1:10" ht="15" customHeight="1" x14ac:dyDescent="0.3">
      <c r="A11" s="20" t="str">
        <f>'Fuzzy Scores (Source)'!A11</f>
        <v>Analog Devices</v>
      </c>
      <c r="B11" s="20">
        <f>'Fuzzy Scores (Source)'!C11</f>
        <v>2023</v>
      </c>
      <c r="C11" s="21">
        <f>'Fuzzy Scores (Source)'!D11</f>
        <v>5.6800999999999997E-2</v>
      </c>
      <c r="D11" s="21">
        <f>'Fuzzy Scores (Source)'!E11</f>
        <v>0.108182</v>
      </c>
      <c r="E11" s="21">
        <f>'Fuzzy Scores (Source)'!F11</f>
        <v>0.49610100000000001</v>
      </c>
      <c r="F11" s="21">
        <f>'Fuzzy Scores (Source)'!G11</f>
        <v>0.33545399999999997</v>
      </c>
      <c r="G11" s="21">
        <f>'Fuzzy Scores (Source)'!H11</f>
        <v>0.19266800000000001</v>
      </c>
      <c r="H11" s="21">
        <f>'Fuzzy Scores (Source)'!I11</f>
        <v>0.501</v>
      </c>
      <c r="I11" s="21">
        <f>'Fuzzy Scores (Source)'!J11</f>
        <v>0.68026399999999998</v>
      </c>
      <c r="J11" s="22">
        <f t="shared" si="0"/>
        <v>0.31973600000000002</v>
      </c>
    </row>
    <row r="12" spans="1:10" ht="15" customHeight="1" x14ac:dyDescent="0.3">
      <c r="A12" s="20" t="str">
        <f>'Fuzzy Scores (Source)'!A12</f>
        <v>Analog Devices</v>
      </c>
      <c r="B12" s="20">
        <f>'Fuzzy Scores (Source)'!C12</f>
        <v>2024</v>
      </c>
      <c r="C12" s="21">
        <f>'Fuzzy Scores (Source)'!D12</f>
        <v>0.13392000000000001</v>
      </c>
      <c r="D12" s="21">
        <f>'Fuzzy Scores (Source)'!E12</f>
        <v>0.24998899999999999</v>
      </c>
      <c r="E12" s="21">
        <f>'Fuzzy Scores (Source)'!F12</f>
        <v>0.512799</v>
      </c>
      <c r="F12" s="21">
        <f>'Fuzzy Scores (Source)'!G12</f>
        <v>0.537439</v>
      </c>
      <c r="G12" s="21">
        <f>'Fuzzy Scores (Source)'!H12</f>
        <v>0.35860799999999998</v>
      </c>
      <c r="H12" s="21">
        <f>'Fuzzy Scores (Source)'!I12</f>
        <v>0.51066699999999998</v>
      </c>
      <c r="I12" s="21">
        <f>'Fuzzy Scores (Source)'!J12</f>
        <v>0.73090999999999995</v>
      </c>
      <c r="J12" s="22">
        <f t="shared" si="0"/>
        <v>0.26909000000000005</v>
      </c>
    </row>
    <row r="13" spans="1:10" ht="15" customHeight="1" x14ac:dyDescent="0.3">
      <c r="A13" s="20" t="str">
        <f>'Fuzzy Scores (Source)'!A13</f>
        <v>Analog Devices</v>
      </c>
      <c r="B13" s="20">
        <f>'Fuzzy Scores (Source)'!C13</f>
        <v>2025</v>
      </c>
      <c r="C13" s="21">
        <f>'Fuzzy Scores (Source)'!D13</f>
        <v>0.20951</v>
      </c>
      <c r="D13" s="21">
        <f>'Fuzzy Scores (Source)'!E13</f>
        <v>0.56212200000000001</v>
      </c>
      <c r="E13" s="21">
        <f>'Fuzzy Scores (Source)'!F13</f>
        <v>0.61321999999999999</v>
      </c>
      <c r="F13" s="21">
        <f>'Fuzzy Scores (Source)'!G13</f>
        <v>0.78164800000000001</v>
      </c>
      <c r="G13" s="21">
        <f>'Fuzzy Scores (Source)'!H13</f>
        <v>0.47406700000000002</v>
      </c>
      <c r="H13" s="21">
        <f>'Fuzzy Scores (Source)'!I13</f>
        <v>0.67066999999999999</v>
      </c>
      <c r="I13" s="21">
        <f>'Fuzzy Scores (Source)'!J13</f>
        <v>0.85248500000000005</v>
      </c>
      <c r="J13" s="22">
        <f t="shared" si="0"/>
        <v>0.14751499999999995</v>
      </c>
    </row>
    <row r="14" spans="1:10" ht="15" customHeight="1" x14ac:dyDescent="0.3">
      <c r="A14" s="20" t="str">
        <f>'Fuzzy Scores (Source)'!A14</f>
        <v>Applied Materials</v>
      </c>
      <c r="B14" s="20">
        <f>'Fuzzy Scores (Source)'!C14</f>
        <v>2023</v>
      </c>
      <c r="C14" s="21">
        <f>'Fuzzy Scores (Source)'!D14</f>
        <v>0.30416900000000002</v>
      </c>
      <c r="D14" s="21">
        <f>'Fuzzy Scores (Source)'!E14</f>
        <v>0.14163000000000001</v>
      </c>
      <c r="E14" s="21">
        <f>'Fuzzy Scores (Source)'!F14</f>
        <v>0.55102899999999999</v>
      </c>
      <c r="F14" s="21">
        <f>'Fuzzy Scores (Source)'!G14</f>
        <v>0.61066399999999998</v>
      </c>
      <c r="G14" s="21">
        <f>'Fuzzy Scores (Source)'!H14</f>
        <v>0.86613499999999999</v>
      </c>
      <c r="H14" s="21">
        <f>'Fuzzy Scores (Source)'!I14</f>
        <v>0.45476499999999997</v>
      </c>
      <c r="I14" s="21">
        <f>'Fuzzy Scores (Source)'!J14</f>
        <v>0.73955499999999996</v>
      </c>
      <c r="J14" s="22">
        <f t="shared" si="0"/>
        <v>0.26044500000000004</v>
      </c>
    </row>
    <row r="15" spans="1:10" ht="15" customHeight="1" x14ac:dyDescent="0.3">
      <c r="A15" s="20" t="str">
        <f>'Fuzzy Scores (Source)'!A15</f>
        <v>Applied Materials</v>
      </c>
      <c r="B15" s="20">
        <f>'Fuzzy Scores (Source)'!C15</f>
        <v>2024</v>
      </c>
      <c r="C15" s="21">
        <f>'Fuzzy Scores (Source)'!D15</f>
        <v>0.49518899999999999</v>
      </c>
      <c r="D15" s="21">
        <f>'Fuzzy Scores (Source)'!E15</f>
        <v>0.35086099999999998</v>
      </c>
      <c r="E15" s="21">
        <f>'Fuzzy Scores (Source)'!F15</f>
        <v>0.52558099999999996</v>
      </c>
      <c r="F15" s="21">
        <f>'Fuzzy Scores (Source)'!G15</f>
        <v>0.52810199999999996</v>
      </c>
      <c r="G15" s="21">
        <f>'Fuzzy Scores (Source)'!H15</f>
        <v>0.94555999999999996</v>
      </c>
      <c r="H15" s="21">
        <f>'Fuzzy Scores (Source)'!I15</f>
        <v>0.44834600000000002</v>
      </c>
      <c r="I15" s="21">
        <f>'Fuzzy Scores (Source)'!J15</f>
        <v>0.79122499999999996</v>
      </c>
      <c r="J15" s="22">
        <f t="shared" si="0"/>
        <v>0.20877500000000004</v>
      </c>
    </row>
    <row r="16" spans="1:10" ht="15" customHeight="1" x14ac:dyDescent="0.3">
      <c r="A16" s="20" t="str">
        <f>'Fuzzy Scores (Source)'!A16</f>
        <v>Applied Materials</v>
      </c>
      <c r="B16" s="20">
        <f>'Fuzzy Scores (Source)'!C16</f>
        <v>2025</v>
      </c>
      <c r="C16" s="21">
        <f>'Fuzzy Scores (Source)'!D16</f>
        <v>0.54471899999999995</v>
      </c>
      <c r="D16" s="21">
        <f>'Fuzzy Scores (Source)'!E16</f>
        <v>0.59435899999999997</v>
      </c>
      <c r="E16" s="21">
        <f>'Fuzzy Scores (Source)'!F16</f>
        <v>0.75044100000000002</v>
      </c>
      <c r="F16" s="21">
        <f>'Fuzzy Scores (Source)'!G16</f>
        <v>0.81196699999999999</v>
      </c>
      <c r="G16" s="21">
        <f>'Fuzzy Scores (Source)'!H16</f>
        <v>0.93974100000000005</v>
      </c>
      <c r="H16" s="21">
        <f>'Fuzzy Scores (Source)'!I16</f>
        <v>0.62861999999999996</v>
      </c>
      <c r="I16" s="21">
        <f>'Fuzzy Scores (Source)'!J16</f>
        <v>0.88522800000000001</v>
      </c>
      <c r="J16" s="22">
        <f t="shared" si="0"/>
        <v>0.11477199999999999</v>
      </c>
    </row>
    <row r="17" spans="1:10" ht="15" customHeight="1" x14ac:dyDescent="0.3">
      <c r="A17" s="20" t="str">
        <f>'Fuzzy Scores (Source)'!A17</f>
        <v>Broadcom Inc.</v>
      </c>
      <c r="B17" s="20">
        <f>'Fuzzy Scores (Source)'!C17</f>
        <v>2023</v>
      </c>
      <c r="C17" s="21">
        <f>'Fuzzy Scores (Source)'!D17</f>
        <v>0.74858599999999997</v>
      </c>
      <c r="D17" s="21">
        <f>'Fuzzy Scores (Source)'!E17</f>
        <v>1.3298000000000001E-2</v>
      </c>
      <c r="E17" s="21">
        <f>'Fuzzy Scores (Source)'!F17</f>
        <v>0.50640099999999999</v>
      </c>
      <c r="F17" s="21">
        <f>'Fuzzy Scores (Source)'!G17</f>
        <v>0.43325999999999998</v>
      </c>
      <c r="G17" s="21">
        <f>'Fuzzy Scores (Source)'!H17</f>
        <v>0.34911300000000001</v>
      </c>
      <c r="H17" s="21">
        <f>'Fuzzy Scores (Source)'!I17</f>
        <v>3.9616999999999999E-2</v>
      </c>
      <c r="I17" s="21">
        <f>'Fuzzy Scores (Source)'!J17</f>
        <v>0.182088</v>
      </c>
      <c r="J17" s="22">
        <f t="shared" si="0"/>
        <v>0.182088</v>
      </c>
    </row>
    <row r="18" spans="1:10" ht="15" customHeight="1" x14ac:dyDescent="0.3">
      <c r="A18" s="20" t="str">
        <f>'Fuzzy Scores (Source)'!A18</f>
        <v>Broadcom Inc.</v>
      </c>
      <c r="B18" s="20">
        <f>'Fuzzy Scores (Source)'!C18</f>
        <v>2024</v>
      </c>
      <c r="C18" s="21">
        <f>'Fuzzy Scores (Source)'!D18</f>
        <v>0.78336600000000001</v>
      </c>
      <c r="D18" s="21">
        <f>'Fuzzy Scores (Source)'!E18</f>
        <v>0.29339799999999999</v>
      </c>
      <c r="E18" s="21">
        <f>'Fuzzy Scores (Source)'!F18</f>
        <v>0.637212</v>
      </c>
      <c r="F18" s="21">
        <f>'Fuzzy Scores (Source)'!G18</f>
        <v>0.60619599999999996</v>
      </c>
      <c r="G18" s="21">
        <f>'Fuzzy Scores (Source)'!H18</f>
        <v>0.373058</v>
      </c>
      <c r="H18" s="21">
        <f>'Fuzzy Scores (Source)'!I18</f>
        <v>6.7998000000000003E-2</v>
      </c>
      <c r="I18" s="21">
        <f>'Fuzzy Scores (Source)'!J18</f>
        <v>0.24942900000000001</v>
      </c>
      <c r="J18" s="22">
        <f t="shared" si="0"/>
        <v>0.24942900000000001</v>
      </c>
    </row>
    <row r="19" spans="1:10" ht="15" customHeight="1" x14ac:dyDescent="0.3">
      <c r="A19" s="20" t="str">
        <f>'Fuzzy Scores (Source)'!A19</f>
        <v>Broadcom Inc.</v>
      </c>
      <c r="B19" s="20">
        <f>'Fuzzy Scores (Source)'!C19</f>
        <v>2025</v>
      </c>
      <c r="C19" s="21">
        <f>'Fuzzy Scores (Source)'!D19</f>
        <v>0.89999099999999999</v>
      </c>
      <c r="D19" s="21">
        <f>'Fuzzy Scores (Source)'!E19</f>
        <v>0.52935200000000004</v>
      </c>
      <c r="E19" s="21">
        <f>'Fuzzy Scores (Source)'!F19</f>
        <v>0.75520500000000002</v>
      </c>
      <c r="F19" s="21">
        <f>'Fuzzy Scores (Source)'!G19</f>
        <v>0.69135000000000002</v>
      </c>
      <c r="G19" s="21">
        <f>'Fuzzy Scores (Source)'!H19</f>
        <v>0.51794600000000002</v>
      </c>
      <c r="H19" s="21">
        <f>'Fuzzy Scores (Source)'!I19</f>
        <v>0.14011299999999999</v>
      </c>
      <c r="I19" s="21">
        <f>'Fuzzy Scores (Source)'!J19</f>
        <v>0.50555099999999997</v>
      </c>
      <c r="J19" s="22">
        <f t="shared" si="0"/>
        <v>0.49444900000000003</v>
      </c>
    </row>
    <row r="20" spans="1:10" ht="15" customHeight="1" x14ac:dyDescent="0.3">
      <c r="A20" s="20" t="str">
        <f>'Fuzzy Scores (Source)'!A20</f>
        <v>DB HiTek</v>
      </c>
      <c r="B20" s="20">
        <f>'Fuzzy Scores (Source)'!C20</f>
        <v>2023</v>
      </c>
      <c r="C20" s="21">
        <f>'Fuzzy Scores (Source)'!D20</f>
        <v>7.5731000000000007E-2</v>
      </c>
      <c r="D20" s="21">
        <f>'Fuzzy Scores (Source)'!E20</f>
        <v>6.6807000000000005E-2</v>
      </c>
      <c r="E20" s="21">
        <f>'Fuzzy Scores (Source)'!F20</f>
        <v>0.119599</v>
      </c>
      <c r="F20" s="21">
        <f>'Fuzzy Scores (Source)'!G20</f>
        <v>4.8401E-2</v>
      </c>
      <c r="G20" s="21">
        <f>'Fuzzy Scores (Source)'!H20</f>
        <v>5.9429000000000003E-2</v>
      </c>
      <c r="H20" s="21">
        <f>'Fuzzy Scores (Source)'!I20</f>
        <v>5.4622999999999998E-2</v>
      </c>
      <c r="I20" s="21">
        <f>'Fuzzy Scores (Source)'!J20</f>
        <v>5.8184E-2</v>
      </c>
      <c r="J20" s="22">
        <f t="shared" si="0"/>
        <v>5.8184E-2</v>
      </c>
    </row>
    <row r="21" spans="1:10" ht="15" customHeight="1" x14ac:dyDescent="0.3">
      <c r="A21" s="20" t="str">
        <f>'Fuzzy Scores (Source)'!A21</f>
        <v>DB HiTek</v>
      </c>
      <c r="B21" s="20">
        <f>'Fuzzy Scores (Source)'!C21</f>
        <v>2024</v>
      </c>
      <c r="C21" s="21">
        <f>'Fuzzy Scores (Source)'!D21</f>
        <v>0.145479</v>
      </c>
      <c r="D21" s="21">
        <f>'Fuzzy Scores (Source)'!E21</f>
        <v>0.33111400000000002</v>
      </c>
      <c r="E21" s="21">
        <f>'Fuzzy Scores (Source)'!F21</f>
        <v>0.150446</v>
      </c>
      <c r="F21" s="21">
        <f>'Fuzzy Scores (Source)'!G21</f>
        <v>9.5680000000000001E-2</v>
      </c>
      <c r="G21" s="21">
        <f>'Fuzzy Scores (Source)'!H21</f>
        <v>7.2153999999999996E-2</v>
      </c>
      <c r="H21" s="21">
        <f>'Fuzzy Scores (Source)'!I21</f>
        <v>0.17064199999999999</v>
      </c>
      <c r="I21" s="21">
        <f>'Fuzzy Scores (Source)'!J21</f>
        <v>4.7222E-2</v>
      </c>
      <c r="J21" s="22">
        <f t="shared" si="0"/>
        <v>4.7222E-2</v>
      </c>
    </row>
    <row r="22" spans="1:10" ht="15" customHeight="1" x14ac:dyDescent="0.3">
      <c r="A22" s="20" t="str">
        <f>'Fuzzy Scores (Source)'!A22</f>
        <v>DB HiTek</v>
      </c>
      <c r="B22" s="20">
        <f>'Fuzzy Scores (Source)'!C22</f>
        <v>2025</v>
      </c>
      <c r="C22" s="21">
        <f>'Fuzzy Scores (Source)'!D22</f>
        <v>0.30825799999999998</v>
      </c>
      <c r="D22" s="21">
        <f>'Fuzzy Scores (Source)'!E22</f>
        <v>0.501</v>
      </c>
      <c r="E22" s="21">
        <f>'Fuzzy Scores (Source)'!F22</f>
        <v>0.128057</v>
      </c>
      <c r="F22" s="21">
        <f>'Fuzzy Scores (Source)'!G22</f>
        <v>0.25459399999999999</v>
      </c>
      <c r="G22" s="21">
        <f>'Fuzzy Scores (Source)'!H22</f>
        <v>8.5709999999999995E-2</v>
      </c>
      <c r="H22" s="21">
        <f>'Fuzzy Scores (Source)'!I22</f>
        <v>0.18193000000000001</v>
      </c>
      <c r="I22" s="21">
        <f>'Fuzzy Scores (Source)'!J22</f>
        <v>0.112734</v>
      </c>
      <c r="J22" s="22">
        <f t="shared" si="0"/>
        <v>0.112734</v>
      </c>
    </row>
    <row r="23" spans="1:10" ht="15" customHeight="1" x14ac:dyDescent="0.3">
      <c r="A23" s="20" t="str">
        <f>'Fuzzy Scores (Source)'!A23</f>
        <v>Frencken Group</v>
      </c>
      <c r="B23" s="20">
        <f>'Fuzzy Scores (Source)'!C23</f>
        <v>2023</v>
      </c>
      <c r="C23" s="21">
        <f>'Fuzzy Scores (Source)'!D23</f>
        <v>6.6823999999999995E-2</v>
      </c>
      <c r="D23" s="21">
        <f>'Fuzzy Scores (Source)'!E23</f>
        <v>7.5509999999999994E-2</v>
      </c>
      <c r="E23" s="21">
        <f>'Fuzzy Scores (Source)'!F23</f>
        <v>5.2891000000000001E-2</v>
      </c>
      <c r="F23" s="21">
        <f>'Fuzzy Scores (Source)'!G23</f>
        <v>4.5136999999999997E-2</v>
      </c>
      <c r="G23" s="21">
        <f>'Fuzzy Scores (Source)'!H23</f>
        <v>5.9429000000000003E-2</v>
      </c>
      <c r="H23" s="21">
        <f>'Fuzzy Scores (Source)'!I23</f>
        <v>0.73578100000000002</v>
      </c>
      <c r="I23" s="21">
        <f>'Fuzzy Scores (Source)'!J23</f>
        <v>0.51110100000000003</v>
      </c>
      <c r="J23" s="22">
        <f t="shared" si="0"/>
        <v>0.48889899999999997</v>
      </c>
    </row>
    <row r="24" spans="1:10" ht="15" customHeight="1" x14ac:dyDescent="0.3">
      <c r="A24" s="20" t="str">
        <f>'Fuzzy Scores (Source)'!A24</f>
        <v>Frencken Group</v>
      </c>
      <c r="B24" s="20">
        <f>'Fuzzy Scores (Source)'!C24</f>
        <v>2024</v>
      </c>
      <c r="C24" s="21">
        <f>'Fuzzy Scores (Source)'!D24</f>
        <v>0.105631</v>
      </c>
      <c r="D24" s="21">
        <f>'Fuzzy Scores (Source)'!E24</f>
        <v>0.35086099999999998</v>
      </c>
      <c r="E24" s="21">
        <f>'Fuzzy Scores (Source)'!F24</f>
        <v>4.0468999999999998E-2</v>
      </c>
      <c r="F24" s="21">
        <f>'Fuzzy Scores (Source)'!G24</f>
        <v>9.1537999999999994E-2</v>
      </c>
      <c r="G24" s="21">
        <f>'Fuzzy Scores (Source)'!H24</f>
        <v>7.2153999999999996E-2</v>
      </c>
      <c r="H24" s="21">
        <f>'Fuzzy Scores (Source)'!I24</f>
        <v>0.83304299999999998</v>
      </c>
      <c r="I24" s="21">
        <f>'Fuzzy Scores (Source)'!J24</f>
        <v>0.80897300000000005</v>
      </c>
      <c r="J24" s="22">
        <f t="shared" si="0"/>
        <v>0.19102699999999995</v>
      </c>
    </row>
    <row r="25" spans="1:10" ht="15" customHeight="1" x14ac:dyDescent="0.3">
      <c r="A25" s="20" t="str">
        <f>'Fuzzy Scores (Source)'!A25</f>
        <v>Frencken Group</v>
      </c>
      <c r="B25" s="20">
        <f>'Fuzzy Scores (Source)'!C25</f>
        <v>2025</v>
      </c>
      <c r="C25" s="21">
        <f>'Fuzzy Scores (Source)'!D25</f>
        <v>0.22589100000000001</v>
      </c>
      <c r="D25" s="21">
        <f>'Fuzzy Scores (Source)'!E25</f>
        <v>0.51101799999999997</v>
      </c>
      <c r="E25" s="21">
        <f>'Fuzzy Scores (Source)'!F25</f>
        <v>0.110092</v>
      </c>
      <c r="F25" s="21">
        <f>'Fuzzy Scores (Source)'!G25</f>
        <v>0.10446999999999999</v>
      </c>
      <c r="G25" s="21">
        <f>'Fuzzy Scores (Source)'!H25</f>
        <v>0.13129099999999999</v>
      </c>
      <c r="H25" s="21">
        <f>'Fuzzy Scores (Source)'!I25</f>
        <v>0.84457800000000005</v>
      </c>
      <c r="I25" s="21">
        <f>'Fuzzy Scores (Source)'!J25</f>
        <v>0.71308700000000003</v>
      </c>
      <c r="J25" s="22">
        <f t="shared" si="0"/>
        <v>0.28691299999999997</v>
      </c>
    </row>
    <row r="26" spans="1:10" ht="15" customHeight="1" x14ac:dyDescent="0.3">
      <c r="A26" s="20" t="str">
        <f>'Fuzzy Scores (Source)'!A26</f>
        <v>GlobalFoundries</v>
      </c>
      <c r="B26" s="20">
        <f>'Fuzzy Scores (Source)'!C26</f>
        <v>2023</v>
      </c>
      <c r="C26" s="21">
        <f>'Fuzzy Scores (Source)'!D26</f>
        <v>0.21271499999999999</v>
      </c>
      <c r="D26" s="21">
        <f>'Fuzzy Scores (Source)'!E26</f>
        <v>0.21849499999999999</v>
      </c>
      <c r="E26" s="21">
        <f>'Fuzzy Scores (Source)'!F26</f>
        <v>0.21510399999999999</v>
      </c>
      <c r="F26" s="21">
        <f>'Fuzzy Scores (Source)'!G26</f>
        <v>0.36319000000000001</v>
      </c>
      <c r="G26" s="21">
        <f>'Fuzzy Scores (Source)'!H26</f>
        <v>0.234407</v>
      </c>
      <c r="H26" s="21">
        <f>'Fuzzy Scores (Source)'!I26</f>
        <v>0.93718100000000004</v>
      </c>
      <c r="I26" s="21">
        <f>'Fuzzy Scores (Source)'!J26</f>
        <v>0.93354400000000004</v>
      </c>
      <c r="J26" s="22">
        <f t="shared" si="0"/>
        <v>6.645599999999996E-2</v>
      </c>
    </row>
    <row r="27" spans="1:10" ht="15" customHeight="1" x14ac:dyDescent="0.3">
      <c r="A27" s="20" t="str">
        <f>'Fuzzy Scores (Source)'!A27</f>
        <v>GlobalFoundries</v>
      </c>
      <c r="B27" s="20">
        <f>'Fuzzy Scores (Source)'!C27</f>
        <v>2024</v>
      </c>
      <c r="C27" s="21">
        <f>'Fuzzy Scores (Source)'!D27</f>
        <v>0.42832900000000002</v>
      </c>
      <c r="D27" s="21">
        <f>'Fuzzy Scores (Source)'!E27</f>
        <v>0.51101799999999997</v>
      </c>
      <c r="E27" s="21">
        <f>'Fuzzy Scores (Source)'!F27</f>
        <v>0.21248300000000001</v>
      </c>
      <c r="F27" s="21">
        <f>'Fuzzy Scores (Source)'!G27</f>
        <v>0.61511400000000005</v>
      </c>
      <c r="G27" s="21">
        <f>'Fuzzy Scores (Source)'!H27</f>
        <v>0.34440900000000002</v>
      </c>
      <c r="H27" s="21">
        <f>'Fuzzy Scores (Source)'!I27</f>
        <v>0.92920899999999995</v>
      </c>
      <c r="I27" s="21">
        <f>'Fuzzy Scores (Source)'!J27</f>
        <v>0.97029399999999999</v>
      </c>
      <c r="J27" s="22">
        <f t="shared" si="0"/>
        <v>2.970600000000001E-2</v>
      </c>
    </row>
    <row r="28" spans="1:10" ht="15" customHeight="1" x14ac:dyDescent="0.3">
      <c r="A28" s="20" t="str">
        <f>'Fuzzy Scores (Source)'!A28</f>
        <v>GlobalFoundries</v>
      </c>
      <c r="B28" s="20">
        <f>'Fuzzy Scores (Source)'!C28</f>
        <v>2025</v>
      </c>
      <c r="C28" s="21">
        <f>'Fuzzy Scores (Source)'!D28</f>
        <v>0.57418000000000002</v>
      </c>
      <c r="D28" s="21">
        <f>'Fuzzy Scores (Source)'!E28</f>
        <v>0.58725499999999997</v>
      </c>
      <c r="E28" s="21">
        <f>'Fuzzy Scores (Source)'!F28</f>
        <v>0.34537800000000002</v>
      </c>
      <c r="F28" s="21">
        <f>'Fuzzy Scores (Source)'!G28</f>
        <v>0.67098999999999998</v>
      </c>
      <c r="G28" s="21">
        <f>'Fuzzy Scores (Source)'!H28</f>
        <v>0.41265499999999999</v>
      </c>
      <c r="H28" s="21">
        <f>'Fuzzy Scores (Source)'!I28</f>
        <v>0.95</v>
      </c>
      <c r="I28" s="21">
        <f>'Fuzzy Scores (Source)'!J28</f>
        <v>0.97029399999999999</v>
      </c>
      <c r="J28" s="22">
        <f t="shared" si="0"/>
        <v>2.970600000000001E-2</v>
      </c>
    </row>
    <row r="29" spans="1:10" ht="15" customHeight="1" x14ac:dyDescent="0.3">
      <c r="A29" s="20" t="str">
        <f>'Fuzzy Scores (Source)'!A29</f>
        <v>Hana Micron</v>
      </c>
      <c r="B29" s="20">
        <f>'Fuzzy Scores (Source)'!C29</f>
        <v>2023</v>
      </c>
      <c r="C29" s="21">
        <f>'Fuzzy Scores (Source)'!D29</f>
        <v>2.4705000000000001E-2</v>
      </c>
      <c r="D29" s="21">
        <f>'Fuzzy Scores (Source)'!E29</f>
        <v>5.9041999999999997E-2</v>
      </c>
      <c r="E29" s="21">
        <f>'Fuzzy Scores (Source)'!F29</f>
        <v>0.40750399999999998</v>
      </c>
      <c r="F29" s="21">
        <f>'Fuzzy Scores (Source)'!G29</f>
        <v>8.0062999999999995E-2</v>
      </c>
      <c r="G29" s="21">
        <f>'Fuzzy Scores (Source)'!H29</f>
        <v>2.7902E-2</v>
      </c>
      <c r="H29" s="21">
        <f>'Fuzzy Scores (Source)'!I29</f>
        <v>0.37931199999999998</v>
      </c>
      <c r="I29" s="21">
        <f>'Fuzzy Scores (Source)'!J29</f>
        <v>2.3531E-2</v>
      </c>
      <c r="J29" s="22">
        <f t="shared" si="0"/>
        <v>2.3531E-2</v>
      </c>
    </row>
    <row r="30" spans="1:10" ht="15" customHeight="1" x14ac:dyDescent="0.3">
      <c r="A30" s="20" t="str">
        <f>'Fuzzy Scores (Source)'!A30</f>
        <v>Hana Micron</v>
      </c>
      <c r="B30" s="20">
        <f>'Fuzzy Scores (Source)'!C30</f>
        <v>2024</v>
      </c>
      <c r="C30" s="21">
        <f>'Fuzzy Scores (Source)'!D30</f>
        <v>0.15032899999999999</v>
      </c>
      <c r="D30" s="21">
        <f>'Fuzzy Scores (Source)'!E30</f>
        <v>0.38144600000000001</v>
      </c>
      <c r="E30" s="21">
        <f>'Fuzzy Scores (Source)'!F30</f>
        <v>0.63127299999999997</v>
      </c>
      <c r="F30" s="21">
        <f>'Fuzzy Scores (Source)'!G30</f>
        <v>8.1879999999999994E-2</v>
      </c>
      <c r="G30" s="21">
        <f>'Fuzzy Scores (Source)'!H30</f>
        <v>5.9429000000000003E-2</v>
      </c>
      <c r="H30" s="21">
        <f>'Fuzzy Scores (Source)'!I30</f>
        <v>0.57760199999999995</v>
      </c>
      <c r="I30" s="21">
        <f>'Fuzzy Scores (Source)'!J30</f>
        <v>7.1500999999999995E-2</v>
      </c>
      <c r="J30" s="22">
        <f t="shared" si="0"/>
        <v>7.1500999999999995E-2</v>
      </c>
    </row>
    <row r="31" spans="1:10" ht="15" customHeight="1" x14ac:dyDescent="0.3">
      <c r="A31" s="20" t="str">
        <f>'Fuzzy Scores (Source)'!A31</f>
        <v>Hana Micron</v>
      </c>
      <c r="B31" s="20">
        <f>'Fuzzy Scores (Source)'!C31</f>
        <v>2025</v>
      </c>
      <c r="C31" s="21">
        <f>'Fuzzy Scores (Source)'!D31</f>
        <v>0.107463</v>
      </c>
      <c r="D31" s="21">
        <f>'Fuzzy Scores (Source)'!E31</f>
        <v>0.50367300000000004</v>
      </c>
      <c r="E31" s="21">
        <f>'Fuzzy Scores (Source)'!F31</f>
        <v>0.55102899999999999</v>
      </c>
      <c r="F31" s="21">
        <f>'Fuzzy Scores (Source)'!G31</f>
        <v>0.34091900000000003</v>
      </c>
      <c r="G31" s="21">
        <f>'Fuzzy Scores (Source)'!H31</f>
        <v>6.6786999999999999E-2</v>
      </c>
      <c r="H31" s="21">
        <f>'Fuzzy Scores (Source)'!I31</f>
        <v>0.53196100000000002</v>
      </c>
      <c r="I31" s="21">
        <f>'Fuzzy Scores (Source)'!J31</f>
        <v>5.9291999999999997E-2</v>
      </c>
      <c r="J31" s="22">
        <f t="shared" si="0"/>
        <v>5.9291999999999997E-2</v>
      </c>
    </row>
    <row r="32" spans="1:10" ht="15" customHeight="1" x14ac:dyDescent="0.3">
      <c r="A32" s="20" t="str">
        <f>'Fuzzy Scores (Source)'!A32</f>
        <v>Himax Technologies</v>
      </c>
      <c r="B32" s="20">
        <f>'Fuzzy Scores (Source)'!C32</f>
        <v>2023</v>
      </c>
      <c r="C32" s="21">
        <f>'Fuzzy Scores (Source)'!D32</f>
        <v>0.64858000000000005</v>
      </c>
      <c r="D32" s="21">
        <f>'Fuzzy Scores (Source)'!E32</f>
        <v>0.21108399999999999</v>
      </c>
      <c r="E32" s="21">
        <f>'Fuzzy Scores (Source)'!F32</f>
        <v>3.0407E-2</v>
      </c>
      <c r="F32" s="21">
        <f>'Fuzzy Scores (Source)'!G32</f>
        <v>9.5680000000000001E-2</v>
      </c>
      <c r="G32" s="21">
        <f>'Fuzzy Scores (Source)'!H32</f>
        <v>0.26551999999999998</v>
      </c>
      <c r="H32" s="21">
        <f>'Fuzzy Scores (Source)'!I32</f>
        <v>0.80348299999999995</v>
      </c>
      <c r="I32" s="21">
        <f>'Fuzzy Scores (Source)'!J32</f>
        <v>0.11680400000000001</v>
      </c>
      <c r="J32" s="22">
        <f t="shared" si="0"/>
        <v>0.11680400000000001</v>
      </c>
    </row>
    <row r="33" spans="1:10" ht="15" customHeight="1" x14ac:dyDescent="0.3">
      <c r="A33" s="20" t="str">
        <f>'Fuzzy Scores (Source)'!A33</f>
        <v>Himax Technologies</v>
      </c>
      <c r="B33" s="20">
        <f>'Fuzzy Scores (Source)'!C33</f>
        <v>2024</v>
      </c>
      <c r="C33" s="21">
        <f>'Fuzzy Scores (Source)'!D33</f>
        <v>0.81225800000000004</v>
      </c>
      <c r="D33" s="21">
        <f>'Fuzzy Scores (Source)'!E33</f>
        <v>0.21849499999999999</v>
      </c>
      <c r="E33" s="21">
        <f>'Fuzzy Scores (Source)'!F33</f>
        <v>4.9119000000000003E-2</v>
      </c>
      <c r="F33" s="21">
        <f>'Fuzzy Scores (Source)'!G33</f>
        <v>0.124206</v>
      </c>
      <c r="G33" s="21">
        <f>'Fuzzy Scores (Source)'!H33</f>
        <v>0.34440900000000002</v>
      </c>
      <c r="H33" s="21">
        <f>'Fuzzy Scores (Source)'!I33</f>
        <v>0.81873200000000002</v>
      </c>
      <c r="I33" s="21">
        <f>'Fuzzy Scores (Source)'!J33</f>
        <v>0.25319799999999998</v>
      </c>
      <c r="J33" s="22">
        <f t="shared" si="0"/>
        <v>0.25319799999999998</v>
      </c>
    </row>
    <row r="34" spans="1:10" ht="15" customHeight="1" x14ac:dyDescent="0.3">
      <c r="A34" s="20" t="str">
        <f>'Fuzzy Scores (Source)'!A34</f>
        <v>Himax Technologies</v>
      </c>
      <c r="B34" s="20">
        <f>'Fuzzy Scores (Source)'!C34</f>
        <v>2025</v>
      </c>
      <c r="C34" s="21">
        <f>'Fuzzy Scores (Source)'!D34</f>
        <v>0.87303699999999995</v>
      </c>
      <c r="D34" s="21">
        <f>'Fuzzy Scores (Source)'!E34</f>
        <v>0.62580199999999997</v>
      </c>
      <c r="E34" s="21">
        <f>'Fuzzy Scores (Source)'!F34</f>
        <v>7.6189000000000007E-2</v>
      </c>
      <c r="F34" s="21">
        <f>'Fuzzy Scores (Source)'!G34</f>
        <v>0.33003399999999999</v>
      </c>
      <c r="G34" s="21">
        <f>'Fuzzy Scores (Source)'!H34</f>
        <v>0.50448800000000005</v>
      </c>
      <c r="H34" s="21">
        <f>'Fuzzy Scores (Source)'!I34</f>
        <v>0.86733700000000002</v>
      </c>
      <c r="I34" s="21">
        <f>'Fuzzy Scores (Source)'!J34</f>
        <v>0.26472800000000002</v>
      </c>
      <c r="J34" s="22">
        <f t="shared" ref="J34:J65" si="1">MIN(I34,1-I34)</f>
        <v>0.26472800000000002</v>
      </c>
    </row>
    <row r="35" spans="1:10" ht="15" customHeight="1" x14ac:dyDescent="0.3">
      <c r="A35" s="20" t="str">
        <f>'Fuzzy Scores (Source)'!A35</f>
        <v>Intel Corporation</v>
      </c>
      <c r="B35" s="20">
        <f>'Fuzzy Scores (Source)'!C35</f>
        <v>2023</v>
      </c>
      <c r="C35" s="21">
        <f>'Fuzzy Scores (Source)'!D35</f>
        <v>0.69783300000000004</v>
      </c>
      <c r="D35" s="21">
        <f>'Fuzzy Scores (Source)'!E35</f>
        <v>0.93547999999999998</v>
      </c>
      <c r="E35" s="21">
        <f>'Fuzzy Scores (Source)'!F35</f>
        <v>0.94751099999999999</v>
      </c>
      <c r="F35" s="21">
        <f>'Fuzzy Scores (Source)'!G35</f>
        <v>0.78483199999999997</v>
      </c>
      <c r="G35" s="21">
        <f>'Fuzzy Scores (Source)'!H35</f>
        <v>0.59748199999999996</v>
      </c>
      <c r="H35" s="21">
        <f>'Fuzzy Scores (Source)'!I35</f>
        <v>0.95</v>
      </c>
      <c r="I35" s="21">
        <f>'Fuzzy Scores (Source)'!J35</f>
        <v>0.77229199999999998</v>
      </c>
      <c r="J35" s="22">
        <f t="shared" si="1"/>
        <v>0.22770800000000002</v>
      </c>
    </row>
    <row r="36" spans="1:10" ht="15" customHeight="1" x14ac:dyDescent="0.3">
      <c r="A36" s="20" t="str">
        <f>'Fuzzy Scores (Source)'!A36</f>
        <v>Intel Corporation</v>
      </c>
      <c r="B36" s="20">
        <f>'Fuzzy Scores (Source)'!C36</f>
        <v>2024</v>
      </c>
      <c r="C36" s="21">
        <f>'Fuzzy Scores (Source)'!D36</f>
        <v>0.81225800000000004</v>
      </c>
      <c r="D36" s="21">
        <f>'Fuzzy Scores (Source)'!E36</f>
        <v>0.94533999999999996</v>
      </c>
      <c r="E36" s="21">
        <f>'Fuzzy Scores (Source)'!F36</f>
        <v>0.94877</v>
      </c>
      <c r="F36" s="21">
        <f>'Fuzzy Scores (Source)'!G36</f>
        <v>0.84882400000000002</v>
      </c>
      <c r="G36" s="21">
        <f>'Fuzzy Scores (Source)'!H36</f>
        <v>0.77535799999999999</v>
      </c>
      <c r="H36" s="21">
        <f>'Fuzzy Scores (Source)'!I36</f>
        <v>0.95</v>
      </c>
      <c r="I36" s="21">
        <f>'Fuzzy Scores (Source)'!J36</f>
        <v>0.78000700000000001</v>
      </c>
      <c r="J36" s="22">
        <f t="shared" si="1"/>
        <v>0.21999299999999999</v>
      </c>
    </row>
    <row r="37" spans="1:10" ht="15" customHeight="1" x14ac:dyDescent="0.3">
      <c r="A37" s="20" t="str">
        <f>'Fuzzy Scores (Source)'!A37</f>
        <v>Intel Corporation</v>
      </c>
      <c r="B37" s="20">
        <f>'Fuzzy Scores (Source)'!C37</f>
        <v>2025</v>
      </c>
      <c r="C37" s="21">
        <f>'Fuzzy Scores (Source)'!D37</f>
        <v>0.87792499999999996</v>
      </c>
      <c r="D37" s="21">
        <f>'Fuzzy Scores (Source)'!E37</f>
        <v>0.97558599999999995</v>
      </c>
      <c r="E37" s="21">
        <f>'Fuzzy Scores (Source)'!F37</f>
        <v>0.95</v>
      </c>
      <c r="F37" s="21">
        <f>'Fuzzy Scores (Source)'!G37</f>
        <v>0.94030199999999997</v>
      </c>
      <c r="G37" s="21">
        <f>'Fuzzy Scores (Source)'!H37</f>
        <v>0.70676899999999998</v>
      </c>
      <c r="H37" s="21">
        <f>'Fuzzy Scores (Source)'!I37</f>
        <v>0.95</v>
      </c>
      <c r="I37" s="21">
        <f>'Fuzzy Scores (Source)'!J37</f>
        <v>0.85525600000000002</v>
      </c>
      <c r="J37" s="22">
        <f t="shared" si="1"/>
        <v>0.14474399999999998</v>
      </c>
    </row>
    <row r="38" spans="1:10" ht="15" customHeight="1" x14ac:dyDescent="0.3">
      <c r="A38" s="20" t="str">
        <f>'Fuzzy Scores (Source)'!A38</f>
        <v>KLA Corporation</v>
      </c>
      <c r="B38" s="20">
        <f>'Fuzzy Scores (Source)'!C38</f>
        <v>2023</v>
      </c>
      <c r="C38" s="21">
        <f>'Fuzzy Scores (Source)'!D38</f>
        <v>0.41425499999999998</v>
      </c>
      <c r="D38" s="21">
        <f>'Fuzzy Scores (Source)'!E38</f>
        <v>9.2353000000000005E-2</v>
      </c>
      <c r="E38" s="21">
        <f>'Fuzzy Scores (Source)'!F38</f>
        <v>0.56994900000000004</v>
      </c>
      <c r="F38" s="21">
        <f>'Fuzzy Scores (Source)'!G38</f>
        <v>0.22780500000000001</v>
      </c>
      <c r="G38" s="21">
        <f>'Fuzzy Scores (Source)'!H38</f>
        <v>0.95</v>
      </c>
      <c r="H38" s="21">
        <f>'Fuzzy Scores (Source)'!I38</f>
        <v>0.18582000000000001</v>
      </c>
      <c r="I38" s="21">
        <f>'Fuzzy Scores (Source)'!J38</f>
        <v>0.73090999999999995</v>
      </c>
      <c r="J38" s="22">
        <f t="shared" si="1"/>
        <v>0.26909000000000005</v>
      </c>
    </row>
    <row r="39" spans="1:10" ht="15" customHeight="1" x14ac:dyDescent="0.3">
      <c r="A39" s="20" t="str">
        <f>'Fuzzy Scores (Source)'!A39</f>
        <v>KLA Corporation</v>
      </c>
      <c r="B39" s="20">
        <f>'Fuzzy Scores (Source)'!C39</f>
        <v>2024</v>
      </c>
      <c r="C39" s="21">
        <f>'Fuzzy Scores (Source)'!D39</f>
        <v>0.45680700000000002</v>
      </c>
      <c r="D39" s="21">
        <f>'Fuzzy Scores (Source)'!E39</f>
        <v>0.21108399999999999</v>
      </c>
      <c r="E39" s="21">
        <f>'Fuzzy Scores (Source)'!F39</f>
        <v>0.61927500000000002</v>
      </c>
      <c r="F39" s="21">
        <f>'Fuzzy Scores (Source)'!G39</f>
        <v>0.54209700000000005</v>
      </c>
      <c r="G39" s="21">
        <f>'Fuzzy Scores (Source)'!H39</f>
        <v>0.95</v>
      </c>
      <c r="H39" s="21">
        <f>'Fuzzy Scores (Source)'!I39</f>
        <v>0.55665299999999995</v>
      </c>
      <c r="I39" s="21">
        <f>'Fuzzy Scores (Source)'!J39</f>
        <v>0.79122499999999996</v>
      </c>
      <c r="J39" s="22">
        <f t="shared" si="1"/>
        <v>0.20877500000000004</v>
      </c>
    </row>
    <row r="40" spans="1:10" ht="15" customHeight="1" x14ac:dyDescent="0.3">
      <c r="A40" s="20" t="str">
        <f>'Fuzzy Scores (Source)'!A40</f>
        <v>KLA Corporation</v>
      </c>
      <c r="B40" s="20">
        <f>'Fuzzy Scores (Source)'!C40</f>
        <v>2025</v>
      </c>
      <c r="C40" s="21">
        <f>'Fuzzy Scores (Source)'!D40</f>
        <v>0.54842400000000002</v>
      </c>
      <c r="D40" s="21">
        <f>'Fuzzy Scores (Source)'!E40</f>
        <v>0.61889499999999997</v>
      </c>
      <c r="E40" s="21">
        <f>'Fuzzy Scores (Source)'!F40</f>
        <v>0.654775</v>
      </c>
      <c r="F40" s="21">
        <f>'Fuzzy Scores (Source)'!G40</f>
        <v>0.73355499999999996</v>
      </c>
      <c r="G40" s="21">
        <f>'Fuzzy Scores (Source)'!H40</f>
        <v>0.95</v>
      </c>
      <c r="H40" s="21">
        <f>'Fuzzy Scores (Source)'!I40</f>
        <v>0.34931200000000001</v>
      </c>
      <c r="I40" s="21">
        <f>'Fuzzy Scores (Source)'!J40</f>
        <v>0.80551799999999996</v>
      </c>
      <c r="J40" s="22">
        <f t="shared" si="1"/>
        <v>0.19448200000000004</v>
      </c>
    </row>
    <row r="41" spans="1:10" ht="15" customHeight="1" x14ac:dyDescent="0.3">
      <c r="A41" s="20" t="str">
        <f>'Fuzzy Scores (Source)'!A41</f>
        <v>LX Semicon</v>
      </c>
      <c r="B41" s="20">
        <f>'Fuzzy Scores (Source)'!C41</f>
        <v>2023</v>
      </c>
      <c r="C41" s="21">
        <f>'Fuzzy Scores (Source)'!D41</f>
        <v>6.1067999999999997E-2</v>
      </c>
      <c r="D41" s="21">
        <f>'Fuzzy Scores (Source)'!E41</f>
        <v>0.16437399999999999</v>
      </c>
      <c r="E41" s="21">
        <f>'Fuzzy Scores (Source)'!F41</f>
        <v>0.156524</v>
      </c>
      <c r="F41" s="21">
        <f>'Fuzzy Scores (Source)'!G41</f>
        <v>5.1887999999999997E-2</v>
      </c>
      <c r="G41" s="21">
        <f>'Fuzzy Scores (Source)'!H41</f>
        <v>6.8093000000000001E-2</v>
      </c>
      <c r="H41" s="21">
        <f>'Fuzzy Scores (Source)'!I41</f>
        <v>7.1358000000000005E-2</v>
      </c>
      <c r="I41" s="21">
        <f>'Fuzzy Scores (Source)'!J41</f>
        <v>2.2627999999999999E-2</v>
      </c>
      <c r="J41" s="22">
        <f t="shared" si="1"/>
        <v>2.2627999999999999E-2</v>
      </c>
    </row>
    <row r="42" spans="1:10" ht="15" customHeight="1" x14ac:dyDescent="0.3">
      <c r="A42" s="20" t="str">
        <f>'Fuzzy Scores (Source)'!A42</f>
        <v>LX Semicon</v>
      </c>
      <c r="B42" s="20">
        <f>'Fuzzy Scores (Source)'!C42</f>
        <v>2024</v>
      </c>
      <c r="C42" s="21">
        <f>'Fuzzy Scores (Source)'!D42</f>
        <v>0.13616800000000001</v>
      </c>
      <c r="D42" s="21">
        <f>'Fuzzy Scores (Source)'!E42</f>
        <v>0.81955900000000004</v>
      </c>
      <c r="E42" s="21">
        <f>'Fuzzy Scores (Source)'!F42</f>
        <v>0.71539600000000003</v>
      </c>
      <c r="F42" s="21">
        <f>'Fuzzy Scores (Source)'!G42</f>
        <v>0.106777</v>
      </c>
      <c r="G42" s="21">
        <f>'Fuzzy Scores (Source)'!H42</f>
        <v>4.2505000000000001E-2</v>
      </c>
      <c r="H42" s="21">
        <f>'Fuzzy Scores (Source)'!I42</f>
        <v>9.2716999999999994E-2</v>
      </c>
      <c r="I42" s="21">
        <f>'Fuzzy Scores (Source)'!J42</f>
        <v>0.05</v>
      </c>
      <c r="J42" s="22">
        <f t="shared" si="1"/>
        <v>0.05</v>
      </c>
    </row>
    <row r="43" spans="1:10" ht="15" customHeight="1" x14ac:dyDescent="0.3">
      <c r="A43" s="20" t="str">
        <f>'Fuzzy Scores (Source)'!A43</f>
        <v>LX Semicon</v>
      </c>
      <c r="B43" s="20">
        <f>'Fuzzy Scores (Source)'!C43</f>
        <v>2025</v>
      </c>
      <c r="C43" s="21">
        <f>'Fuzzy Scores (Source)'!D43</f>
        <v>0.27259800000000001</v>
      </c>
      <c r="D43" s="21">
        <f>'Fuzzy Scores (Source)'!E43</f>
        <v>0.84800799999999998</v>
      </c>
      <c r="E43" s="21">
        <f>'Fuzzy Scores (Source)'!F43</f>
        <v>0.70485600000000004</v>
      </c>
      <c r="F43" s="21">
        <f>'Fuzzy Scores (Source)'!G43</f>
        <v>0.14705699999999999</v>
      </c>
      <c r="G43" s="21">
        <f>'Fuzzy Scores (Source)'!H43</f>
        <v>0.18629100000000001</v>
      </c>
      <c r="H43" s="21">
        <f>'Fuzzy Scores (Source)'!I43</f>
        <v>0.15307599999999999</v>
      </c>
      <c r="I43" s="21">
        <f>'Fuzzy Scores (Source)'!J43</f>
        <v>5.1937999999999998E-2</v>
      </c>
      <c r="J43" s="22">
        <f t="shared" si="1"/>
        <v>5.1937999999999998E-2</v>
      </c>
    </row>
    <row r="44" spans="1:10" ht="15" customHeight="1" x14ac:dyDescent="0.3">
      <c r="A44" s="20" t="str">
        <f>'Fuzzy Scores (Source)'!A44</f>
        <v>Lam Research</v>
      </c>
      <c r="B44" s="20">
        <f>'Fuzzy Scores (Source)'!C44</f>
        <v>2023</v>
      </c>
      <c r="C44" s="21">
        <f>'Fuzzy Scores (Source)'!D44</f>
        <v>0.30825799999999998</v>
      </c>
      <c r="D44" s="21">
        <f>'Fuzzy Scores (Source)'!E44</f>
        <v>4.2280999999999999E-2</v>
      </c>
      <c r="E44" s="21">
        <f>'Fuzzy Scores (Source)'!F44</f>
        <v>0.51919300000000002</v>
      </c>
      <c r="F44" s="21">
        <f>'Fuzzy Scores (Source)'!G44</f>
        <v>0.43926399999999999</v>
      </c>
      <c r="G44" s="21">
        <f>'Fuzzy Scores (Source)'!H44</f>
        <v>0.907219</v>
      </c>
      <c r="H44" s="21">
        <f>'Fuzzy Scores (Source)'!I44</f>
        <v>0.503556</v>
      </c>
      <c r="I44" s="21">
        <f>'Fuzzy Scores (Source)'!J44</f>
        <v>0.61975800000000003</v>
      </c>
      <c r="J44" s="22">
        <f t="shared" si="1"/>
        <v>0.38024199999999997</v>
      </c>
    </row>
    <row r="45" spans="1:10" ht="15" customHeight="1" x14ac:dyDescent="0.3">
      <c r="A45" s="20" t="str">
        <f>'Fuzzy Scores (Source)'!A45</f>
        <v>Lam Research</v>
      </c>
      <c r="B45" s="20">
        <f>'Fuzzy Scores (Source)'!C45</f>
        <v>2024</v>
      </c>
      <c r="C45" s="21">
        <f>'Fuzzy Scores (Source)'!D45</f>
        <v>0.511208</v>
      </c>
      <c r="D45" s="21">
        <f>'Fuzzy Scores (Source)'!E45</f>
        <v>0.18329300000000001</v>
      </c>
      <c r="E45" s="21">
        <f>'Fuzzy Scores (Source)'!F45</f>
        <v>0.55735500000000004</v>
      </c>
      <c r="F45" s="21">
        <f>'Fuzzy Scores (Source)'!G45</f>
        <v>0.62395500000000004</v>
      </c>
      <c r="G45" s="21">
        <f>'Fuzzy Scores (Source)'!H45</f>
        <v>0.94368099999999999</v>
      </c>
      <c r="H45" s="21">
        <f>'Fuzzy Scores (Source)'!I45</f>
        <v>0.55313999999999997</v>
      </c>
      <c r="I45" s="21">
        <f>'Fuzzy Scores (Source)'!J45</f>
        <v>0.65564699999999998</v>
      </c>
      <c r="J45" s="22">
        <f t="shared" si="1"/>
        <v>0.34435300000000002</v>
      </c>
    </row>
    <row r="46" spans="1:10" ht="15" customHeight="1" x14ac:dyDescent="0.3">
      <c r="A46" s="20" t="str">
        <f>'Fuzzy Scores (Source)'!A46</f>
        <v>Lam Research</v>
      </c>
      <c r="B46" s="20">
        <f>'Fuzzy Scores (Source)'!C46</f>
        <v>2025</v>
      </c>
      <c r="C46" s="21">
        <f>'Fuzzy Scores (Source)'!D46</f>
        <v>0.55950200000000005</v>
      </c>
      <c r="D46" s="21">
        <f>'Fuzzy Scores (Source)'!E46</f>
        <v>0.47804099999999999</v>
      </c>
      <c r="E46" s="21">
        <f>'Fuzzy Scores (Source)'!F46</f>
        <v>0.654775</v>
      </c>
      <c r="F46" s="21">
        <f>'Fuzzy Scores (Source)'!G46</f>
        <v>0.72987400000000002</v>
      </c>
      <c r="G46" s="21">
        <f>'Fuzzy Scores (Source)'!H46</f>
        <v>0.95</v>
      </c>
      <c r="H46" s="21">
        <f>'Fuzzy Scores (Source)'!I46</f>
        <v>0.654775</v>
      </c>
      <c r="I46" s="21">
        <f>'Fuzzy Scores (Source)'!J46</f>
        <v>0.78379399999999999</v>
      </c>
      <c r="J46" s="22">
        <f t="shared" si="1"/>
        <v>0.21620600000000001</v>
      </c>
    </row>
    <row r="47" spans="1:10" ht="15" customHeight="1" x14ac:dyDescent="0.3">
      <c r="A47" s="20" t="str">
        <f>'Fuzzy Scores (Source)'!A47</f>
        <v>Marvell Technology</v>
      </c>
      <c r="B47" s="20">
        <f>'Fuzzy Scores (Source)'!C47</f>
        <v>2023</v>
      </c>
      <c r="C47" s="21">
        <f>'Fuzzy Scores (Source)'!D47</f>
        <v>0.92386400000000002</v>
      </c>
      <c r="D47" s="21">
        <f>'Fuzzy Scores (Source)'!E47</f>
        <v>3.0124999999999999E-2</v>
      </c>
      <c r="E47" s="21">
        <f>'Fuzzy Scores (Source)'!F47</f>
        <v>0.204759</v>
      </c>
      <c r="F47" s="21">
        <f>'Fuzzy Scores (Source)'!G47</f>
        <v>0.303622</v>
      </c>
      <c r="G47" s="21">
        <f>'Fuzzy Scores (Source)'!H47</f>
        <v>0.25355</v>
      </c>
      <c r="H47" s="21">
        <f>'Fuzzy Scores (Source)'!I47</f>
        <v>7.4870000000000006E-2</v>
      </c>
      <c r="I47" s="21">
        <f>'Fuzzy Scores (Source)'!J47</f>
        <v>0.75629599999999997</v>
      </c>
      <c r="J47" s="22">
        <f t="shared" si="1"/>
        <v>0.24370400000000003</v>
      </c>
    </row>
    <row r="48" spans="1:10" ht="15" customHeight="1" x14ac:dyDescent="0.3">
      <c r="A48" s="20" t="str">
        <f>'Fuzzy Scores (Source)'!A48</f>
        <v>Marvell Technology</v>
      </c>
      <c r="B48" s="20">
        <f>'Fuzzy Scores (Source)'!C48</f>
        <v>2024</v>
      </c>
      <c r="C48" s="21">
        <f>'Fuzzy Scores (Source)'!D48</f>
        <v>0.93186000000000002</v>
      </c>
      <c r="D48" s="21">
        <f>'Fuzzy Scores (Source)'!E48</f>
        <v>0.501</v>
      </c>
      <c r="E48" s="21">
        <f>'Fuzzy Scores (Source)'!F48</f>
        <v>0.204759</v>
      </c>
      <c r="F48" s="21">
        <f>'Fuzzy Scores (Source)'!G48</f>
        <v>0.55602700000000005</v>
      </c>
      <c r="G48" s="21">
        <f>'Fuzzy Scores (Source)'!H48</f>
        <v>0.31684800000000002</v>
      </c>
      <c r="H48" s="21">
        <f>'Fuzzy Scores (Source)'!I48</f>
        <v>4.8304E-2</v>
      </c>
      <c r="I48" s="21">
        <f>'Fuzzy Scores (Source)'!J48</f>
        <v>0.74801700000000004</v>
      </c>
      <c r="J48" s="22">
        <f t="shared" si="1"/>
        <v>0.25198299999999996</v>
      </c>
    </row>
    <row r="49" spans="1:10" ht="15" customHeight="1" x14ac:dyDescent="0.3">
      <c r="A49" s="20" t="str">
        <f>'Fuzzy Scores (Source)'!A49</f>
        <v>Marvell Technology</v>
      </c>
      <c r="B49" s="20">
        <f>'Fuzzy Scores (Source)'!C49</f>
        <v>2025</v>
      </c>
      <c r="C49" s="21">
        <f>'Fuzzy Scores (Source)'!D49</f>
        <v>0.95</v>
      </c>
      <c r="D49" s="21">
        <f>'Fuzzy Scores (Source)'!E49</f>
        <v>0.48901499999999998</v>
      </c>
      <c r="E49" s="21">
        <f>'Fuzzy Scores (Source)'!F49</f>
        <v>0.27549400000000002</v>
      </c>
      <c r="F49" s="21">
        <f>'Fuzzy Scores (Source)'!G49</f>
        <v>0.71863900000000003</v>
      </c>
      <c r="G49" s="21">
        <f>'Fuzzy Scores (Source)'!H49</f>
        <v>0.51794600000000002</v>
      </c>
      <c r="H49" s="21">
        <f>'Fuzzy Scores (Source)'!I49</f>
        <v>0.29291699999999998</v>
      </c>
      <c r="I49" s="21">
        <f>'Fuzzy Scores (Source)'!J49</f>
        <v>0.86590800000000001</v>
      </c>
      <c r="J49" s="22">
        <f t="shared" si="1"/>
        <v>0.13409199999999999</v>
      </c>
    </row>
    <row r="50" spans="1:10" ht="15" customHeight="1" x14ac:dyDescent="0.3">
      <c r="A50" s="20" t="str">
        <f>'Fuzzy Scores (Source)'!A50</f>
        <v>MediaTek Inc.</v>
      </c>
      <c r="B50" s="20">
        <f>'Fuzzy Scores (Source)'!C50</f>
        <v>2023</v>
      </c>
      <c r="C50" s="21">
        <f>'Fuzzy Scores (Source)'!D50</f>
        <v>0.92064999999999997</v>
      </c>
      <c r="D50" s="21">
        <f>'Fuzzy Scores (Source)'!E50</f>
        <v>0.679033</v>
      </c>
      <c r="E50" s="21">
        <f>'Fuzzy Scores (Source)'!F50</f>
        <v>0.501</v>
      </c>
      <c r="F50" s="21">
        <f>'Fuzzy Scores (Source)'!G50</f>
        <v>0.43325999999999998</v>
      </c>
      <c r="G50" s="21">
        <f>'Fuzzy Scores (Source)'!H50</f>
        <v>0.14105799999999999</v>
      </c>
      <c r="H50" s="21">
        <f>'Fuzzy Scores (Source)'!I50</f>
        <v>0.33185199999999998</v>
      </c>
      <c r="I50" s="21">
        <f>'Fuzzy Scores (Source)'!J50</f>
        <v>0.25700400000000001</v>
      </c>
      <c r="J50" s="22">
        <f t="shared" si="1"/>
        <v>0.25700400000000001</v>
      </c>
    </row>
    <row r="51" spans="1:10" ht="15" customHeight="1" x14ac:dyDescent="0.3">
      <c r="A51" s="20" t="str">
        <f>'Fuzzy Scores (Source)'!A51</f>
        <v>MediaTek Inc.</v>
      </c>
      <c r="B51" s="20">
        <f>'Fuzzy Scores (Source)'!C51</f>
        <v>2024</v>
      </c>
      <c r="C51" s="21">
        <f>'Fuzzy Scores (Source)'!D51</f>
        <v>0.95</v>
      </c>
      <c r="D51" s="21">
        <f>'Fuzzy Scores (Source)'!E51</f>
        <v>0.79441399999999995</v>
      </c>
      <c r="E51" s="21">
        <f>'Fuzzy Scores (Source)'!F51</f>
        <v>0.426458</v>
      </c>
      <c r="F51" s="21">
        <f>'Fuzzy Scores (Source)'!G51</f>
        <v>0.45737800000000001</v>
      </c>
      <c r="G51" s="21">
        <f>'Fuzzy Scores (Source)'!H51</f>
        <v>0.30792799999999998</v>
      </c>
      <c r="H51" s="21">
        <f>'Fuzzy Scores (Source)'!I51</f>
        <v>0.563662</v>
      </c>
      <c r="I51" s="21">
        <f>'Fuzzy Scores (Source)'!J51</f>
        <v>0.29290300000000002</v>
      </c>
      <c r="J51" s="22">
        <f t="shared" si="1"/>
        <v>0.29290300000000002</v>
      </c>
    </row>
    <row r="52" spans="1:10" ht="15" customHeight="1" x14ac:dyDescent="0.3">
      <c r="A52" s="20" t="str">
        <f>'Fuzzy Scores (Source)'!A52</f>
        <v>MediaTek Inc.</v>
      </c>
      <c r="B52" s="20">
        <f>'Fuzzy Scores (Source)'!C52</f>
        <v>2025</v>
      </c>
      <c r="C52" s="21">
        <f>'Fuzzy Scores (Source)'!D52</f>
        <v>0.95</v>
      </c>
      <c r="D52" s="21">
        <f>'Fuzzy Scores (Source)'!E52</f>
        <v>0.88366500000000003</v>
      </c>
      <c r="E52" s="21">
        <f>'Fuzzy Scores (Source)'!F52</f>
        <v>0.71539600000000003</v>
      </c>
      <c r="F52" s="21">
        <f>'Fuzzy Scores (Source)'!G52</f>
        <v>0.79418100000000003</v>
      </c>
      <c r="G52" s="21">
        <f>'Fuzzy Scores (Source)'!H52</f>
        <v>0.55365399999999998</v>
      </c>
      <c r="H52" s="21">
        <f>'Fuzzy Scores (Source)'!I52</f>
        <v>0.53903699999999999</v>
      </c>
      <c r="I52" s="21">
        <f>'Fuzzy Scores (Source)'!J52</f>
        <v>0.57167100000000004</v>
      </c>
      <c r="J52" s="22">
        <f t="shared" si="1"/>
        <v>0.42832899999999996</v>
      </c>
    </row>
    <row r="53" spans="1:10" ht="15" customHeight="1" x14ac:dyDescent="0.3">
      <c r="A53" s="20" t="str">
        <f>'Fuzzy Scores (Source)'!A53</f>
        <v>Microchip Technology</v>
      </c>
      <c r="B53" s="20">
        <f>'Fuzzy Scores (Source)'!C53</f>
        <v>2023</v>
      </c>
      <c r="C53" s="21">
        <f>'Fuzzy Scores (Source)'!D53</f>
        <v>3.7939000000000001E-2</v>
      </c>
      <c r="D53" s="21">
        <f>'Fuzzy Scores (Source)'!E53</f>
        <v>0.112495</v>
      </c>
      <c r="E53" s="21">
        <f>'Fuzzy Scores (Source)'!F53</f>
        <v>0.501</v>
      </c>
      <c r="F53" s="21">
        <f>'Fuzzy Scores (Source)'!G53</f>
        <v>0.203067</v>
      </c>
      <c r="G53" s="21">
        <f>'Fuzzy Scores (Source)'!H53</f>
        <v>0.32135999999999998</v>
      </c>
      <c r="H53" s="21">
        <f>'Fuzzy Scores (Source)'!I53</f>
        <v>0.57760199999999995</v>
      </c>
      <c r="I53" s="21">
        <f>'Fuzzy Scores (Source)'!J53</f>
        <v>0.13672300000000001</v>
      </c>
      <c r="J53" s="22">
        <f t="shared" si="1"/>
        <v>0.13672300000000001</v>
      </c>
    </row>
    <row r="54" spans="1:10" ht="15" customHeight="1" x14ac:dyDescent="0.3">
      <c r="A54" s="20" t="str">
        <f>'Fuzzy Scores (Source)'!A54</f>
        <v>Microchip Technology</v>
      </c>
      <c r="B54" s="20">
        <f>'Fuzzy Scores (Source)'!C54</f>
        <v>2024</v>
      </c>
      <c r="C54" s="21">
        <f>'Fuzzy Scores (Source)'!D54</f>
        <v>0.13844699999999999</v>
      </c>
      <c r="D54" s="21">
        <f>'Fuzzy Scores (Source)'!E54</f>
        <v>0.32145400000000002</v>
      </c>
      <c r="E54" s="21">
        <f>'Fuzzy Scores (Source)'!F54</f>
        <v>0.44178200000000001</v>
      </c>
      <c r="F54" s="21">
        <f>'Fuzzy Scores (Source)'!G54</f>
        <v>0.50937600000000005</v>
      </c>
      <c r="G54" s="21">
        <f>'Fuzzy Scores (Source)'!H54</f>
        <v>0.373058</v>
      </c>
      <c r="H54" s="21">
        <f>'Fuzzy Scores (Source)'!I54</f>
        <v>0.48057</v>
      </c>
      <c r="I54" s="21">
        <f>'Fuzzy Scores (Source)'!J54</f>
        <v>0.242004</v>
      </c>
      <c r="J54" s="22">
        <f t="shared" si="1"/>
        <v>0.242004</v>
      </c>
    </row>
    <row r="55" spans="1:10" ht="15" customHeight="1" x14ac:dyDescent="0.3">
      <c r="A55" s="20" t="str">
        <f>'Fuzzy Scores (Source)'!A55</f>
        <v>Microchip Technology</v>
      </c>
      <c r="B55" s="20">
        <f>'Fuzzy Scores (Source)'!C55</f>
        <v>2025</v>
      </c>
      <c r="C55" s="21">
        <f>'Fuzzy Scores (Source)'!D55</f>
        <v>0.16835800000000001</v>
      </c>
      <c r="D55" s="21">
        <f>'Fuzzy Scores (Source)'!E55</f>
        <v>0.59789599999999998</v>
      </c>
      <c r="E55" s="21">
        <f>'Fuzzy Scores (Source)'!F55</f>
        <v>0.61927500000000002</v>
      </c>
      <c r="F55" s="21">
        <f>'Fuzzy Scores (Source)'!G55</f>
        <v>0.501</v>
      </c>
      <c r="G55" s="21">
        <f>'Fuzzy Scores (Source)'!H55</f>
        <v>0.63565899999999997</v>
      </c>
      <c r="H55" s="21">
        <f>'Fuzzy Scores (Source)'!I55</f>
        <v>0.71307299999999996</v>
      </c>
      <c r="I55" s="21">
        <f>'Fuzzy Scores (Source)'!J55</f>
        <v>0.29290300000000002</v>
      </c>
      <c r="J55" s="22">
        <f t="shared" si="1"/>
        <v>0.29290300000000002</v>
      </c>
    </row>
    <row r="56" spans="1:10" ht="15" customHeight="1" x14ac:dyDescent="0.3">
      <c r="A56" s="20" t="str">
        <f>'Fuzzy Scores (Source)'!A56</f>
        <v>Micron Technology</v>
      </c>
      <c r="B56" s="20">
        <f>'Fuzzy Scores (Source)'!C56</f>
        <v>2023</v>
      </c>
      <c r="C56" s="21">
        <f>'Fuzzy Scores (Source)'!D56</f>
        <v>0.56318299999999999</v>
      </c>
      <c r="D56" s="21">
        <f>'Fuzzy Scores (Source)'!E56</f>
        <v>0.75608699999999995</v>
      </c>
      <c r="E56" s="21">
        <f>'Fuzzy Scores (Source)'!F56</f>
        <v>0.39253300000000002</v>
      </c>
      <c r="F56" s="21">
        <f>'Fuzzy Scores (Source)'!G56</f>
        <v>0.82854799999999995</v>
      </c>
      <c r="G56" s="21">
        <f>'Fuzzy Scores (Source)'!H56</f>
        <v>0.84391700000000003</v>
      </c>
      <c r="H56" s="21">
        <f>'Fuzzy Scores (Source)'!I56</f>
        <v>0.85720499999999999</v>
      </c>
      <c r="I56" s="21">
        <f>'Fuzzy Scores (Source)'!J56</f>
        <v>0.501</v>
      </c>
      <c r="J56" s="22">
        <f t="shared" si="1"/>
        <v>0.499</v>
      </c>
    </row>
    <row r="57" spans="1:10" ht="15" customHeight="1" x14ac:dyDescent="0.3">
      <c r="A57" s="20" t="str">
        <f>'Fuzzy Scores (Source)'!A57</f>
        <v>Micron Technology</v>
      </c>
      <c r="B57" s="20">
        <f>'Fuzzy Scores (Source)'!C57</f>
        <v>2024</v>
      </c>
      <c r="C57" s="21">
        <f>'Fuzzy Scores (Source)'!D57</f>
        <v>0.80765600000000004</v>
      </c>
      <c r="D57" s="21">
        <f>'Fuzzy Scores (Source)'!E57</f>
        <v>0.84027700000000005</v>
      </c>
      <c r="E57" s="21">
        <f>'Fuzzy Scores (Source)'!F57</f>
        <v>0.59485100000000002</v>
      </c>
      <c r="F57" s="21">
        <f>'Fuzzy Scores (Source)'!G57</f>
        <v>0.89095100000000005</v>
      </c>
      <c r="G57" s="21">
        <f>'Fuzzy Scores (Source)'!H57</f>
        <v>0.71415499999999998</v>
      </c>
      <c r="H57" s="21">
        <f>'Fuzzy Scores (Source)'!I57</f>
        <v>0.84270199999999995</v>
      </c>
      <c r="I57" s="21">
        <f>'Fuzzy Scores (Source)'!J57</f>
        <v>0.81574199999999997</v>
      </c>
      <c r="J57" s="22">
        <f t="shared" si="1"/>
        <v>0.18425800000000003</v>
      </c>
    </row>
    <row r="58" spans="1:10" ht="15" customHeight="1" x14ac:dyDescent="0.3">
      <c r="A58" s="20" t="str">
        <f>'Fuzzy Scores (Source)'!A58</f>
        <v>Micron Technology</v>
      </c>
      <c r="B58" s="20">
        <f>'Fuzzy Scores (Source)'!C58</f>
        <v>2025</v>
      </c>
      <c r="C58" s="21">
        <f>'Fuzzy Scores (Source)'!D58</f>
        <v>0.86626099999999995</v>
      </c>
      <c r="D58" s="21">
        <f>'Fuzzy Scores (Source)'!E58</f>
        <v>0.88812100000000005</v>
      </c>
      <c r="E58" s="21">
        <f>'Fuzzy Scores (Source)'!F58</f>
        <v>0.501</v>
      </c>
      <c r="F58" s="21">
        <f>'Fuzzy Scores (Source)'!G58</f>
        <v>0.95088300000000003</v>
      </c>
      <c r="G58" s="21">
        <f>'Fuzzy Scores (Source)'!H58</f>
        <v>0.86613499999999999</v>
      </c>
      <c r="H58" s="21">
        <f>'Fuzzy Scores (Source)'!I58</f>
        <v>0.85893699999999995</v>
      </c>
      <c r="I58" s="21">
        <f>'Fuzzy Scores (Source)'!J58</f>
        <v>0.79486900000000005</v>
      </c>
      <c r="J58" s="22">
        <f t="shared" si="1"/>
        <v>0.20513099999999995</v>
      </c>
    </row>
    <row r="59" spans="1:10" ht="15" customHeight="1" x14ac:dyDescent="0.3">
      <c r="A59" s="20" t="str">
        <f>'Fuzzy Scores (Source)'!A59</f>
        <v>NVIDIA Corporation</v>
      </c>
      <c r="B59" s="20">
        <f>'Fuzzy Scores (Source)'!C59</f>
        <v>2023</v>
      </c>
      <c r="C59" s="21">
        <f>'Fuzzy Scores (Source)'!D59</f>
        <v>0.92695899999999998</v>
      </c>
      <c r="D59" s="21">
        <f>'Fuzzy Scores (Source)'!E59</f>
        <v>0.90190899999999996</v>
      </c>
      <c r="E59" s="21">
        <f>'Fuzzy Scores (Source)'!F59</f>
        <v>0.453349</v>
      </c>
      <c r="F59" s="21">
        <f>'Fuzzy Scores (Source)'!G59</f>
        <v>0.76857500000000001</v>
      </c>
      <c r="G59" s="21">
        <f>'Fuzzy Scores (Source)'!H59</f>
        <v>0.710476</v>
      </c>
      <c r="H59" s="21">
        <f>'Fuzzy Scores (Source)'!I59</f>
        <v>0.81873200000000002</v>
      </c>
      <c r="I59" s="21">
        <f>'Fuzzy Scores (Source)'!J59</f>
        <v>0.56076300000000001</v>
      </c>
      <c r="J59" s="22">
        <f t="shared" si="1"/>
        <v>0.43923699999999999</v>
      </c>
    </row>
    <row r="60" spans="1:10" ht="15" customHeight="1" x14ac:dyDescent="0.3">
      <c r="A60" s="20" t="str">
        <f>'Fuzzy Scores (Source)'!A60</f>
        <v>NVIDIA Corporation</v>
      </c>
      <c r="B60" s="20">
        <f>'Fuzzy Scores (Source)'!C60</f>
        <v>2024</v>
      </c>
      <c r="C60" s="21">
        <f>'Fuzzy Scores (Source)'!D60</f>
        <v>0.94320999999999999</v>
      </c>
      <c r="D60" s="21">
        <f>'Fuzzy Scores (Source)'!E60</f>
        <v>0.93636200000000003</v>
      </c>
      <c r="E60" s="21">
        <f>'Fuzzy Scores (Source)'!F60</f>
        <v>0.563662</v>
      </c>
      <c r="F60" s="21">
        <f>'Fuzzy Scores (Source)'!G60</f>
        <v>0.91968499999999997</v>
      </c>
      <c r="G60" s="21">
        <f>'Fuzzy Scores (Source)'!H60</f>
        <v>0.78761899999999996</v>
      </c>
      <c r="H60" s="21">
        <f>'Fuzzy Scores (Source)'!I60</f>
        <v>0.77513200000000004</v>
      </c>
      <c r="I60" s="21">
        <f>'Fuzzy Scores (Source)'!J60</f>
        <v>0.83493200000000001</v>
      </c>
      <c r="J60" s="22">
        <f t="shared" si="1"/>
        <v>0.16506799999999999</v>
      </c>
    </row>
    <row r="61" spans="1:10" ht="15" customHeight="1" x14ac:dyDescent="0.3">
      <c r="A61" s="20" t="str">
        <f>'Fuzzy Scores (Source)'!A61</f>
        <v>NVIDIA Corporation</v>
      </c>
      <c r="B61" s="20">
        <f>'Fuzzy Scores (Source)'!C61</f>
        <v>2025</v>
      </c>
      <c r="C61" s="21">
        <f>'Fuzzy Scores (Source)'!D61</f>
        <v>0.95</v>
      </c>
      <c r="D61" s="21">
        <f>'Fuzzy Scores (Source)'!E61</f>
        <v>0.95110499999999998</v>
      </c>
      <c r="E61" s="21">
        <f>'Fuzzy Scores (Source)'!F61</f>
        <v>0.51919300000000002</v>
      </c>
      <c r="F61" s="21">
        <f>'Fuzzy Scores (Source)'!G61</f>
        <v>0.91247999999999996</v>
      </c>
      <c r="G61" s="21">
        <f>'Fuzzy Scores (Source)'!H61</f>
        <v>0.79938399999999998</v>
      </c>
      <c r="H61" s="21">
        <f>'Fuzzy Scores (Source)'!I61</f>
        <v>0.86733700000000002</v>
      </c>
      <c r="I61" s="21">
        <f>'Fuzzy Scores (Source)'!J61</f>
        <v>0.80201599999999995</v>
      </c>
      <c r="J61" s="22">
        <f t="shared" si="1"/>
        <v>0.19798400000000005</v>
      </c>
    </row>
    <row r="62" spans="1:10" ht="15" customHeight="1" x14ac:dyDescent="0.3">
      <c r="A62" s="20" t="str">
        <f>'Fuzzy Scores (Source)'!A62</f>
        <v>Nanya Technology</v>
      </c>
      <c r="B62" s="20">
        <f>'Fuzzy Scores (Source)'!C62</f>
        <v>2023</v>
      </c>
      <c r="C62" s="21">
        <f>'Fuzzy Scores (Source)'!D62</f>
        <v>3.7939000000000001E-2</v>
      </c>
      <c r="D62" s="21">
        <f>'Fuzzy Scores (Source)'!E62</f>
        <v>9.6102999999999994E-2</v>
      </c>
      <c r="E62" s="21">
        <f>'Fuzzy Scores (Source)'!F62</f>
        <v>2.6530999999999999E-2</v>
      </c>
      <c r="F62" s="21">
        <f>'Fuzzy Scores (Source)'!G62</f>
        <v>4.9537999999999999E-2</v>
      </c>
      <c r="G62" s="21">
        <f>'Fuzzy Scores (Source)'!H62</f>
        <v>6.0600000000000001E-2</v>
      </c>
      <c r="H62" s="21">
        <f>'Fuzzy Scores (Source)'!I62</f>
        <v>2.3376000000000001E-2</v>
      </c>
      <c r="I62" s="21">
        <f>'Fuzzy Scores (Source)'!J62</f>
        <v>3.4722999999999997E-2</v>
      </c>
      <c r="J62" s="22">
        <f t="shared" si="1"/>
        <v>3.4722999999999997E-2</v>
      </c>
    </row>
    <row r="63" spans="1:10" ht="15" customHeight="1" x14ac:dyDescent="0.3">
      <c r="A63" s="20" t="str">
        <f>'Fuzzy Scores (Source)'!A63</f>
        <v>Nanya Technology</v>
      </c>
      <c r="B63" s="20">
        <f>'Fuzzy Scores (Source)'!C63</f>
        <v>2024</v>
      </c>
      <c r="C63" s="21">
        <f>'Fuzzy Scores (Source)'!D63</f>
        <v>0.13844699999999999</v>
      </c>
      <c r="D63" s="21">
        <f>'Fuzzy Scores (Source)'!E63</f>
        <v>0.467088</v>
      </c>
      <c r="E63" s="21">
        <f>'Fuzzy Scores (Source)'!F63</f>
        <v>5.2115000000000002E-2</v>
      </c>
      <c r="F63" s="21">
        <f>'Fuzzy Scores (Source)'!G63</f>
        <v>0.109128</v>
      </c>
      <c r="G63" s="21">
        <f>'Fuzzy Scores (Source)'!H63</f>
        <v>6.9422999999999999E-2</v>
      </c>
      <c r="H63" s="21">
        <f>'Fuzzy Scores (Source)'!I63</f>
        <v>6.7998000000000003E-2</v>
      </c>
      <c r="I63" s="21">
        <f>'Fuzzy Scores (Source)'!J63</f>
        <v>0.05</v>
      </c>
      <c r="J63" s="22">
        <f t="shared" si="1"/>
        <v>0.05</v>
      </c>
    </row>
    <row r="64" spans="1:10" ht="15" customHeight="1" x14ac:dyDescent="0.3">
      <c r="A64" s="20" t="str">
        <f>'Fuzzy Scores (Source)'!A64</f>
        <v>Nanya Technology</v>
      </c>
      <c r="B64" s="20">
        <f>'Fuzzy Scores (Source)'!C64</f>
        <v>2025</v>
      </c>
      <c r="C64" s="21">
        <f>'Fuzzy Scores (Source)'!D64</f>
        <v>0.152804</v>
      </c>
      <c r="D64" s="21">
        <f>'Fuzzy Scores (Source)'!E64</f>
        <v>0.55124399999999996</v>
      </c>
      <c r="E64" s="21">
        <f>'Fuzzy Scores (Source)'!F64</f>
        <v>4.9852E-2</v>
      </c>
      <c r="F64" s="21">
        <f>'Fuzzy Scores (Source)'!G64</f>
        <v>0.29339799999999999</v>
      </c>
      <c r="G64" s="21">
        <f>'Fuzzy Scores (Source)'!H64</f>
        <v>0.128941</v>
      </c>
      <c r="H64" s="21">
        <f>'Fuzzy Scores (Source)'!I64</f>
        <v>5.8779999999999999E-2</v>
      </c>
      <c r="I64" s="21">
        <f>'Fuzzy Scores (Source)'!J64</f>
        <v>5.8184E-2</v>
      </c>
      <c r="J64" s="22">
        <f t="shared" si="1"/>
        <v>5.8184E-2</v>
      </c>
    </row>
    <row r="65" spans="1:10" ht="15" customHeight="1" x14ac:dyDescent="0.3">
      <c r="A65" s="20" t="str">
        <f>'Fuzzy Scores (Source)'!A65</f>
        <v>Novatek Microelectronics</v>
      </c>
      <c r="B65" s="20">
        <f>'Fuzzy Scores (Source)'!C65</f>
        <v>2023</v>
      </c>
      <c r="C65" s="21">
        <f>'Fuzzy Scores (Source)'!D65</f>
        <v>4.9093999999999999E-2</v>
      </c>
      <c r="D65" s="21">
        <f>'Fuzzy Scores (Source)'!E65</f>
        <v>0.32145400000000002</v>
      </c>
      <c r="E65" s="21">
        <f>'Fuzzy Scores (Source)'!F65</f>
        <v>0.173711</v>
      </c>
      <c r="F65" s="21">
        <f>'Fuzzy Scores (Source)'!G65</f>
        <v>9.5680000000000001E-2</v>
      </c>
      <c r="G65" s="21">
        <f>'Fuzzy Scores (Source)'!H65</f>
        <v>0.35860799999999998</v>
      </c>
      <c r="H65" s="21">
        <f>'Fuzzy Scores (Source)'!I65</f>
        <v>4.9509999999999998E-2</v>
      </c>
      <c r="I65" s="21">
        <f>'Fuzzy Scores (Source)'!J65</f>
        <v>0.34051599999999999</v>
      </c>
      <c r="J65" s="22">
        <f t="shared" si="1"/>
        <v>0.34051599999999999</v>
      </c>
    </row>
    <row r="66" spans="1:10" ht="15" customHeight="1" x14ac:dyDescent="0.3">
      <c r="A66" s="20" t="str">
        <f>'Fuzzy Scores (Source)'!A66</f>
        <v>Novatek Microelectronics</v>
      </c>
      <c r="B66" s="20">
        <f>'Fuzzy Scores (Source)'!C66</f>
        <v>2024</v>
      </c>
      <c r="C66" s="21">
        <f>'Fuzzy Scores (Source)'!D66</f>
        <v>0.12951799999999999</v>
      </c>
      <c r="D66" s="21">
        <f>'Fuzzy Scores (Source)'!E66</f>
        <v>0.52202499999999996</v>
      </c>
      <c r="E66" s="21">
        <f>'Fuzzy Scores (Source)'!F66</f>
        <v>0.220417</v>
      </c>
      <c r="F66" s="21">
        <f>'Fuzzy Scores (Source)'!G66</f>
        <v>0.121574</v>
      </c>
      <c r="G66" s="21">
        <f>'Fuzzy Scores (Source)'!H66</f>
        <v>0.27784500000000001</v>
      </c>
      <c r="H66" s="21">
        <f>'Fuzzy Scores (Source)'!I66</f>
        <v>7.1358000000000005E-2</v>
      </c>
      <c r="I66" s="21">
        <f>'Fuzzy Scores (Source)'!J66</f>
        <v>0.32275999999999999</v>
      </c>
      <c r="J66" s="22">
        <f t="shared" ref="J66:J97" si="2">MIN(I66,1-I66)</f>
        <v>0.32275999999999999</v>
      </c>
    </row>
    <row r="67" spans="1:10" ht="15" customHeight="1" x14ac:dyDescent="0.3">
      <c r="A67" s="20" t="str">
        <f>'Fuzzy Scores (Source)'!A67</f>
        <v>Novatek Microelectronics</v>
      </c>
      <c r="B67" s="20">
        <f>'Fuzzy Scores (Source)'!C67</f>
        <v>2025</v>
      </c>
      <c r="C67" s="21">
        <f>'Fuzzy Scores (Source)'!D67</f>
        <v>0.20951</v>
      </c>
      <c r="D67" s="21">
        <f>'Fuzzy Scores (Source)'!E67</f>
        <v>0.652895</v>
      </c>
      <c r="E67" s="21">
        <f>'Fuzzy Scores (Source)'!F67</f>
        <v>0.26321899999999998</v>
      </c>
      <c r="F67" s="21">
        <f>'Fuzzy Scores (Source)'!G67</f>
        <v>0.43926399999999999</v>
      </c>
      <c r="G67" s="21">
        <f>'Fuzzy Scores (Source)'!H67</f>
        <v>0.46372600000000003</v>
      </c>
      <c r="H67" s="21">
        <f>'Fuzzy Scores (Source)'!I67</f>
        <v>0.106654</v>
      </c>
      <c r="I67" s="21">
        <f>'Fuzzy Scores (Source)'!J67</f>
        <v>0.47498299999999999</v>
      </c>
      <c r="J67" s="22">
        <f t="shared" si="2"/>
        <v>0.47498299999999999</v>
      </c>
    </row>
    <row r="68" spans="1:10" ht="15" customHeight="1" x14ac:dyDescent="0.3">
      <c r="A68" s="20" t="str">
        <f>'Fuzzy Scores (Source)'!A68</f>
        <v>Phison Electronics</v>
      </c>
      <c r="B68" s="20">
        <f>'Fuzzy Scores (Source)'!C68</f>
        <v>2023</v>
      </c>
      <c r="C68" s="21">
        <f>'Fuzzy Scores (Source)'!D68</f>
        <v>0.69467199999999996</v>
      </c>
      <c r="D68" s="21">
        <f>'Fuzzy Scores (Source)'!E68</f>
        <v>0.54396500000000003</v>
      </c>
      <c r="E68" s="21">
        <f>'Fuzzy Scores (Source)'!F68</f>
        <v>0.95</v>
      </c>
      <c r="F68" s="21">
        <f>'Fuzzy Scores (Source)'!G68</f>
        <v>0.35197400000000001</v>
      </c>
      <c r="G68" s="21">
        <f>'Fuzzy Scores (Source)'!H68</f>
        <v>0.18007699999999999</v>
      </c>
      <c r="H68" s="21">
        <f>'Fuzzy Scores (Source)'!I68</f>
        <v>5.2006999999999998E-2</v>
      </c>
      <c r="I68" s="21">
        <f>'Fuzzy Scores (Source)'!J68</f>
        <v>0.16486799999999999</v>
      </c>
      <c r="J68" s="22">
        <f t="shared" si="2"/>
        <v>0.16486799999999999</v>
      </c>
    </row>
    <row r="69" spans="1:10" ht="15" customHeight="1" x14ac:dyDescent="0.3">
      <c r="A69" s="20" t="str">
        <f>'Fuzzy Scores (Source)'!A69</f>
        <v>Phison Electronics</v>
      </c>
      <c r="B69" s="20">
        <f>'Fuzzy Scores (Source)'!C69</f>
        <v>2024</v>
      </c>
      <c r="C69" s="21">
        <f>'Fuzzy Scores (Source)'!D69</f>
        <v>0.76238799999999995</v>
      </c>
      <c r="D69" s="21">
        <f>'Fuzzy Scores (Source)'!E69</f>
        <v>0.22609199999999999</v>
      </c>
      <c r="E69" s="21">
        <f>'Fuzzy Scores (Source)'!F69</f>
        <v>0.91537900000000005</v>
      </c>
      <c r="F69" s="21">
        <f>'Fuzzy Scores (Source)'!G69</f>
        <v>0.501</v>
      </c>
      <c r="G69" s="21">
        <f>'Fuzzy Scores (Source)'!H69</f>
        <v>0.36821500000000001</v>
      </c>
      <c r="H69" s="21">
        <f>'Fuzzy Scores (Source)'!I69</f>
        <v>4.5976000000000003E-2</v>
      </c>
      <c r="I69" s="21">
        <f>'Fuzzy Scores (Source)'!J69</f>
        <v>0.377363</v>
      </c>
      <c r="J69" s="22">
        <f t="shared" si="2"/>
        <v>0.377363</v>
      </c>
    </row>
    <row r="70" spans="1:10" ht="15" customHeight="1" x14ac:dyDescent="0.3">
      <c r="A70" s="20" t="str">
        <f>'Fuzzy Scores (Source)'!A70</f>
        <v>Phison Electronics</v>
      </c>
      <c r="B70" s="20">
        <f>'Fuzzy Scores (Source)'!C70</f>
        <v>2025</v>
      </c>
      <c r="C70" s="21">
        <f>'Fuzzy Scores (Source)'!D70</f>
        <v>0.87792499999999996</v>
      </c>
      <c r="D70" s="21">
        <f>'Fuzzy Scores (Source)'!E70</f>
        <v>0.70714699999999997</v>
      </c>
      <c r="E70" s="21">
        <f>'Fuzzy Scores (Source)'!F70</f>
        <v>0.95</v>
      </c>
      <c r="F70" s="21">
        <f>'Fuzzy Scores (Source)'!G70</f>
        <v>0.803226</v>
      </c>
      <c r="G70" s="21">
        <f>'Fuzzy Scores (Source)'!H70</f>
        <v>0.32135999999999998</v>
      </c>
      <c r="H70" s="21">
        <f>'Fuzzy Scores (Source)'!I70</f>
        <v>5.7362999999999997E-2</v>
      </c>
      <c r="I70" s="21">
        <f>'Fuzzy Scores (Source)'!J70</f>
        <v>0.231153</v>
      </c>
      <c r="J70" s="22">
        <f t="shared" si="2"/>
        <v>0.231153</v>
      </c>
    </row>
    <row r="71" spans="1:10" ht="15" customHeight="1" x14ac:dyDescent="0.3">
      <c r="A71" s="20" t="str">
        <f>'Fuzzy Scores (Source)'!A71</f>
        <v>Qualcomm Incorporated</v>
      </c>
      <c r="B71" s="20">
        <f>'Fuzzy Scores (Source)'!C71</f>
        <v>2023</v>
      </c>
      <c r="C71" s="21">
        <f>'Fuzzy Scores (Source)'!D71</f>
        <v>0.62787800000000005</v>
      </c>
      <c r="D71" s="21">
        <f>'Fuzzy Scores (Source)'!E71</f>
        <v>0.92083199999999998</v>
      </c>
      <c r="E71" s="21">
        <f>'Fuzzy Scores (Source)'!F71</f>
        <v>0.48830499999999999</v>
      </c>
      <c r="F71" s="21">
        <f>'Fuzzy Scores (Source)'!G71</f>
        <v>0.26397199999999998</v>
      </c>
      <c r="G71" s="21">
        <f>'Fuzzy Scores (Source)'!H71</f>
        <v>0.70676899999999998</v>
      </c>
      <c r="H71" s="21">
        <f>'Fuzzy Scores (Source)'!I71</f>
        <v>0.41026499999999999</v>
      </c>
      <c r="I71" s="21">
        <f>'Fuzzy Scores (Source)'!J71</f>
        <v>0.73525499999999999</v>
      </c>
      <c r="J71" s="22">
        <f t="shared" si="2"/>
        <v>0.26474500000000001</v>
      </c>
    </row>
    <row r="72" spans="1:10" ht="15" customHeight="1" x14ac:dyDescent="0.3">
      <c r="A72" s="20" t="str">
        <f>'Fuzzy Scores (Source)'!A72</f>
        <v>Qualcomm Incorporated</v>
      </c>
      <c r="B72" s="20">
        <f>'Fuzzy Scores (Source)'!C72</f>
        <v>2024</v>
      </c>
      <c r="C72" s="21">
        <f>'Fuzzy Scores (Source)'!D72</f>
        <v>0.82981499999999997</v>
      </c>
      <c r="D72" s="21">
        <f>'Fuzzy Scores (Source)'!E72</f>
        <v>0.93893800000000005</v>
      </c>
      <c r="E72" s="21">
        <f>'Fuzzy Scores (Source)'!F72</f>
        <v>0.512799</v>
      </c>
      <c r="F72" s="21">
        <f>'Fuzzy Scores (Source)'!G72</f>
        <v>0.56986899999999996</v>
      </c>
      <c r="G72" s="21">
        <f>'Fuzzy Scores (Source)'!H72</f>
        <v>0.79060699999999995</v>
      </c>
      <c r="H72" s="21">
        <f>'Fuzzy Scores (Source)'!I72</f>
        <v>0.57064599999999999</v>
      </c>
      <c r="I72" s="21">
        <f>'Fuzzy Scores (Source)'!J72</f>
        <v>0.79486900000000005</v>
      </c>
      <c r="J72" s="22">
        <f t="shared" si="2"/>
        <v>0.20513099999999995</v>
      </c>
    </row>
    <row r="73" spans="1:10" ht="15" customHeight="1" x14ac:dyDescent="0.3">
      <c r="A73" s="20" t="str">
        <f>'Fuzzy Scores (Source)'!A73</f>
        <v>Qualcomm Incorporated</v>
      </c>
      <c r="B73" s="20">
        <f>'Fuzzy Scores (Source)'!C73</f>
        <v>2025</v>
      </c>
      <c r="C73" s="21">
        <f>'Fuzzy Scores (Source)'!D73</f>
        <v>0.84011000000000002</v>
      </c>
      <c r="D73" s="21">
        <f>'Fuzzy Scores (Source)'!E73</f>
        <v>0.97487699999999999</v>
      </c>
      <c r="E73" s="21">
        <f>'Fuzzy Scores (Source)'!F73</f>
        <v>0.79940900000000004</v>
      </c>
      <c r="F73" s="21">
        <f>'Fuzzy Scores (Source)'!G73</f>
        <v>0.48169699999999999</v>
      </c>
      <c r="G73" s="21">
        <f>'Fuzzy Scores (Source)'!H73</f>
        <v>0.89096200000000003</v>
      </c>
      <c r="H73" s="21">
        <f>'Fuzzy Scores (Source)'!I73</f>
        <v>0.62529299999999999</v>
      </c>
      <c r="I73" s="21">
        <f>'Fuzzy Scores (Source)'!J73</f>
        <v>0.94828500000000004</v>
      </c>
      <c r="J73" s="22">
        <f t="shared" si="2"/>
        <v>5.1714999999999955E-2</v>
      </c>
    </row>
    <row r="74" spans="1:10" ht="15" customHeight="1" x14ac:dyDescent="0.3">
      <c r="A74" s="20" t="str">
        <f>'Fuzzy Scores (Source)'!A74</f>
        <v>Realtek Semiconductor</v>
      </c>
      <c r="B74" s="20">
        <f>'Fuzzy Scores (Source)'!C74</f>
        <v>2023</v>
      </c>
      <c r="C74" s="21">
        <f>'Fuzzy Scores (Source)'!D74</f>
        <v>0.36398799999999998</v>
      </c>
      <c r="D74" s="21">
        <f>'Fuzzy Scores (Source)'!E74</f>
        <v>6.6807000000000005E-2</v>
      </c>
      <c r="E74" s="21">
        <f>'Fuzzy Scores (Source)'!F74</f>
        <v>0.21248300000000001</v>
      </c>
      <c r="F74" s="21">
        <f>'Fuzzy Scores (Source)'!G74</f>
        <v>0.43325999999999998</v>
      </c>
      <c r="G74" s="21">
        <f>'Fuzzy Scores (Source)'!H74</f>
        <v>0.26958900000000002</v>
      </c>
      <c r="H74" s="21">
        <f>'Fuzzy Scores (Source)'!I74</f>
        <v>7.6685000000000003E-2</v>
      </c>
      <c r="I74" s="21">
        <f>'Fuzzy Scores (Source)'!J74</f>
        <v>0.288771</v>
      </c>
      <c r="J74" s="22">
        <f t="shared" si="2"/>
        <v>0.288771</v>
      </c>
    </row>
    <row r="75" spans="1:10" ht="15" customHeight="1" x14ac:dyDescent="0.3">
      <c r="A75" s="20" t="str">
        <f>'Fuzzy Scores (Source)'!A75</f>
        <v>Realtek Semiconductor</v>
      </c>
      <c r="B75" s="20">
        <f>'Fuzzy Scores (Source)'!C75</f>
        <v>2024</v>
      </c>
      <c r="C75" s="21">
        <f>'Fuzzy Scores (Source)'!D75</f>
        <v>0.58147199999999999</v>
      </c>
      <c r="D75" s="21">
        <f>'Fuzzy Scores (Source)'!E75</f>
        <v>0.41300100000000001</v>
      </c>
      <c r="E75" s="21">
        <f>'Fuzzy Scores (Source)'!F75</f>
        <v>0.25424600000000003</v>
      </c>
      <c r="F75" s="21">
        <f>'Fuzzy Scores (Source)'!G75</f>
        <v>0.54209700000000005</v>
      </c>
      <c r="G75" s="21">
        <f>'Fuzzy Scores (Source)'!H75</f>
        <v>0.34911300000000001</v>
      </c>
      <c r="H75" s="21">
        <f>'Fuzzy Scores (Source)'!I75</f>
        <v>9.4920000000000004E-2</v>
      </c>
      <c r="I75" s="21">
        <f>'Fuzzy Scores (Source)'!J75</f>
        <v>0.22411</v>
      </c>
      <c r="J75" s="22">
        <f t="shared" si="2"/>
        <v>0.22411</v>
      </c>
    </row>
    <row r="76" spans="1:10" ht="15" customHeight="1" x14ac:dyDescent="0.3">
      <c r="A76" s="20" t="str">
        <f>'Fuzzy Scores (Source)'!A76</f>
        <v>Realtek Semiconductor</v>
      </c>
      <c r="B76" s="20">
        <f>'Fuzzy Scores (Source)'!C76</f>
        <v>2025</v>
      </c>
      <c r="C76" s="21">
        <f>'Fuzzy Scores (Source)'!D76</f>
        <v>0.58872899999999995</v>
      </c>
      <c r="D76" s="21">
        <f>'Fuzzy Scores (Source)'!E76</f>
        <v>0.58725499999999997</v>
      </c>
      <c r="E76" s="21">
        <f>'Fuzzy Scores (Source)'!F76</f>
        <v>0.26020500000000002</v>
      </c>
      <c r="F76" s="21">
        <f>'Fuzzy Scores (Source)'!G76</f>
        <v>0.66683700000000001</v>
      </c>
      <c r="G76" s="21">
        <f>'Fuzzy Scores (Source)'!H76</f>
        <v>0.501</v>
      </c>
      <c r="H76" s="21">
        <f>'Fuzzy Scores (Source)'!I76</f>
        <v>0.13100400000000001</v>
      </c>
      <c r="I76" s="21">
        <f>'Fuzzy Scores (Source)'!J76</f>
        <v>0.33157799999999998</v>
      </c>
      <c r="J76" s="22">
        <f t="shared" si="2"/>
        <v>0.33157799999999998</v>
      </c>
    </row>
    <row r="77" spans="1:10" ht="15" customHeight="1" x14ac:dyDescent="0.3">
      <c r="A77" s="20" t="str">
        <f>'Fuzzy Scores (Source)'!A77</f>
        <v>SK Hynix</v>
      </c>
      <c r="B77" s="20">
        <f>'Fuzzy Scores (Source)'!C77</f>
        <v>2023</v>
      </c>
      <c r="C77" s="21">
        <f>'Fuzzy Scores (Source)'!D77</f>
        <v>0.937338</v>
      </c>
      <c r="D77" s="21">
        <f>'Fuzzy Scores (Source)'!E77</f>
        <v>0.652895</v>
      </c>
      <c r="E77" s="21">
        <f>'Fuzzy Scores (Source)'!F77</f>
        <v>0.53832999999999998</v>
      </c>
      <c r="F77" s="21">
        <f>'Fuzzy Scores (Source)'!G77</f>
        <v>0.80024499999999998</v>
      </c>
      <c r="G77" s="21">
        <f>'Fuzzy Scores (Source)'!H77</f>
        <v>0.699272</v>
      </c>
      <c r="H77" s="21">
        <f>'Fuzzy Scores (Source)'!I77</f>
        <v>0.45476499999999997</v>
      </c>
      <c r="I77" s="21">
        <f>'Fuzzy Scores (Source)'!J77</f>
        <v>0.59326800000000002</v>
      </c>
      <c r="J77" s="22">
        <f t="shared" si="2"/>
        <v>0.40673199999999998</v>
      </c>
    </row>
    <row r="78" spans="1:10" ht="15" customHeight="1" x14ac:dyDescent="0.3">
      <c r="A78" s="20" t="str">
        <f>'Fuzzy Scores (Source)'!A78</f>
        <v>SK Hynix</v>
      </c>
      <c r="B78" s="20">
        <f>'Fuzzy Scores (Source)'!C78</f>
        <v>2024</v>
      </c>
      <c r="C78" s="21">
        <f>'Fuzzy Scores (Source)'!D78</f>
        <v>0.94928500000000005</v>
      </c>
      <c r="D78" s="21">
        <f>'Fuzzy Scores (Source)'!E78</f>
        <v>0.80384599999999995</v>
      </c>
      <c r="E78" s="21">
        <f>'Fuzzy Scores (Source)'!F78</f>
        <v>0.63127299999999997</v>
      </c>
      <c r="F78" s="21">
        <f>'Fuzzy Scores (Source)'!G78</f>
        <v>0.86708600000000002</v>
      </c>
      <c r="G78" s="21">
        <f>'Fuzzy Scores (Source)'!H78</f>
        <v>0.73562899999999998</v>
      </c>
      <c r="H78" s="21">
        <f>'Fuzzy Scores (Source)'!I78</f>
        <v>0.60848599999999997</v>
      </c>
      <c r="I78" s="21">
        <f>'Fuzzy Scores (Source)'!J78</f>
        <v>0.73955499999999996</v>
      </c>
      <c r="J78" s="22">
        <f t="shared" si="2"/>
        <v>0.26044500000000004</v>
      </c>
    </row>
    <row r="79" spans="1:10" ht="15" customHeight="1" x14ac:dyDescent="0.3">
      <c r="A79" s="20" t="str">
        <f>'Fuzzy Scores (Source)'!A79</f>
        <v>SK Hynix</v>
      </c>
      <c r="B79" s="20">
        <f>'Fuzzy Scores (Source)'!C79</f>
        <v>2025</v>
      </c>
      <c r="C79" s="21">
        <f>'Fuzzy Scores (Source)'!D79</f>
        <v>0.95</v>
      </c>
      <c r="D79" s="21">
        <f>'Fuzzy Scores (Source)'!E79</f>
        <v>0.85902500000000004</v>
      </c>
      <c r="E79" s="21">
        <f>'Fuzzy Scores (Source)'!F79</f>
        <v>0.76454800000000001</v>
      </c>
      <c r="F79" s="21">
        <f>'Fuzzy Scores (Source)'!G79</f>
        <v>0.94631399999999999</v>
      </c>
      <c r="G79" s="21">
        <f>'Fuzzy Scores (Source)'!H79</f>
        <v>0.81610400000000005</v>
      </c>
      <c r="H79" s="21">
        <f>'Fuzzy Scores (Source)'!I79</f>
        <v>0.52487200000000001</v>
      </c>
      <c r="I79" s="21">
        <f>'Fuzzy Scores (Source)'!J79</f>
        <v>0.76836300000000002</v>
      </c>
      <c r="J79" s="22">
        <f t="shared" si="2"/>
        <v>0.23163699999999998</v>
      </c>
    </row>
    <row r="80" spans="1:10" ht="15" customHeight="1" x14ac:dyDescent="0.3">
      <c r="A80" s="20" t="str">
        <f>'Fuzzy Scores (Source)'!A80</f>
        <v>Samsung Electronics</v>
      </c>
      <c r="B80" s="20">
        <f>'Fuzzy Scores (Source)'!C80</f>
        <v>2023</v>
      </c>
      <c r="C80" s="21">
        <f>'Fuzzy Scores (Source)'!D80</f>
        <v>0.91384600000000005</v>
      </c>
      <c r="D80" s="21">
        <f>'Fuzzy Scores (Source)'!E80</f>
        <v>0.93090200000000001</v>
      </c>
      <c r="E80" s="21">
        <f>'Fuzzy Scores (Source)'!F80</f>
        <v>0.34891299999999997</v>
      </c>
      <c r="F80" s="21">
        <f>'Fuzzy Scores (Source)'!G80</f>
        <v>0.93816100000000002</v>
      </c>
      <c r="G80" s="21">
        <f>'Fuzzy Scores (Source)'!H80</f>
        <v>0.62730300000000006</v>
      </c>
      <c r="H80" s="21">
        <f>'Fuzzy Scores (Source)'!I80</f>
        <v>0.94932000000000005</v>
      </c>
      <c r="I80" s="21">
        <f>'Fuzzy Scores (Source)'!J80</f>
        <v>0.91145799999999999</v>
      </c>
      <c r="J80" s="22">
        <f t="shared" si="2"/>
        <v>8.854200000000001E-2</v>
      </c>
    </row>
    <row r="81" spans="1:10" ht="15" customHeight="1" x14ac:dyDescent="0.3">
      <c r="A81" s="20" t="str">
        <f>'Fuzzy Scores (Source)'!A81</f>
        <v>Samsung Electronics</v>
      </c>
      <c r="B81" s="20">
        <f>'Fuzzy Scores (Source)'!C81</f>
        <v>2024</v>
      </c>
      <c r="C81" s="21">
        <f>'Fuzzy Scores (Source)'!D81</f>
        <v>0.93465299999999996</v>
      </c>
      <c r="D81" s="21">
        <f>'Fuzzy Scores (Source)'!E81</f>
        <v>0.95178399999999996</v>
      </c>
      <c r="E81" s="21">
        <f>'Fuzzy Scores (Source)'!F81</f>
        <v>0.64310999999999996</v>
      </c>
      <c r="F81" s="21">
        <f>'Fuzzy Scores (Source)'!G81</f>
        <v>0.97786899999999999</v>
      </c>
      <c r="G81" s="21">
        <f>'Fuzzy Scores (Source)'!H81</f>
        <v>0.62309599999999998</v>
      </c>
      <c r="H81" s="21">
        <f>'Fuzzy Scores (Source)'!I81</f>
        <v>0.94044899999999998</v>
      </c>
      <c r="I81" s="21">
        <f>'Fuzzy Scores (Source)'!J81</f>
        <v>0.96074300000000001</v>
      </c>
      <c r="J81" s="22">
        <f t="shared" si="2"/>
        <v>3.9256999999999986E-2</v>
      </c>
    </row>
    <row r="82" spans="1:10" ht="15" customHeight="1" x14ac:dyDescent="0.3">
      <c r="A82" s="20" t="str">
        <f>'Fuzzy Scores (Source)'!A82</f>
        <v>Samsung Electronics</v>
      </c>
      <c r="B82" s="20">
        <f>'Fuzzy Scores (Source)'!C82</f>
        <v>2025</v>
      </c>
      <c r="C82" s="21">
        <f>'Fuzzy Scores (Source)'!D82</f>
        <v>0.95</v>
      </c>
      <c r="D82" s="21">
        <f>'Fuzzy Scores (Source)'!E82</f>
        <v>0.96887500000000004</v>
      </c>
      <c r="E82" s="21">
        <f>'Fuzzy Scores (Source)'!F82</f>
        <v>0.38143500000000002</v>
      </c>
      <c r="F82" s="21">
        <f>'Fuzzy Scores (Source)'!G82</f>
        <v>0.98089300000000001</v>
      </c>
      <c r="G82" s="21">
        <f>'Fuzzy Scores (Source)'!H82</f>
        <v>0.781551</v>
      </c>
      <c r="H82" s="21">
        <f>'Fuzzy Scores (Source)'!I82</f>
        <v>0.95</v>
      </c>
      <c r="I82" s="21">
        <f>'Fuzzy Scores (Source)'!J82</f>
        <v>0.95042000000000004</v>
      </c>
      <c r="J82" s="22">
        <f t="shared" si="2"/>
        <v>4.9579999999999957E-2</v>
      </c>
    </row>
    <row r="83" spans="1:10" ht="15" customHeight="1" x14ac:dyDescent="0.3">
      <c r="A83" s="20" t="str">
        <f>'Fuzzy Scores (Source)'!A83</f>
        <v>Skyworks Solutions</v>
      </c>
      <c r="B83" s="20">
        <f>'Fuzzy Scores (Source)'!C83</f>
        <v>2023</v>
      </c>
      <c r="C83" s="21">
        <f>'Fuzzy Scores (Source)'!D83</f>
        <v>8.1298999999999996E-2</v>
      </c>
      <c r="D83" s="21">
        <f>'Fuzzy Scores (Source)'!E83</f>
        <v>9.2353000000000005E-2</v>
      </c>
      <c r="E83" s="21">
        <f>'Fuzzy Scores (Source)'!F83</f>
        <v>0.49610100000000001</v>
      </c>
      <c r="F83" s="21">
        <f>'Fuzzy Scores (Source)'!G83</f>
        <v>2.7529999999999999E-2</v>
      </c>
      <c r="G83" s="21">
        <f>'Fuzzy Scores (Source)'!H83</f>
        <v>0.30792799999999998</v>
      </c>
      <c r="H83" s="21">
        <f>'Fuzzy Scores (Source)'!I83</f>
        <v>7.6685000000000003E-2</v>
      </c>
      <c r="I83" s="21">
        <f>'Fuzzy Scores (Source)'!J83</f>
        <v>0.33157799999999998</v>
      </c>
      <c r="J83" s="22">
        <f t="shared" si="2"/>
        <v>0.33157799999999998</v>
      </c>
    </row>
    <row r="84" spans="1:10" ht="15" customHeight="1" x14ac:dyDescent="0.3">
      <c r="A84" s="20" t="str">
        <f>'Fuzzy Scores (Source)'!A84</f>
        <v>Skyworks Solutions</v>
      </c>
      <c r="B84" s="20">
        <f>'Fuzzy Scores (Source)'!C84</f>
        <v>2024</v>
      </c>
      <c r="C84" s="21">
        <f>'Fuzzy Scores (Source)'!D84</f>
        <v>9.6879999999999994E-2</v>
      </c>
      <c r="D84" s="21">
        <f>'Fuzzy Scores (Source)'!E84</f>
        <v>0.501</v>
      </c>
      <c r="E84" s="21">
        <f>'Fuzzy Scores (Source)'!F84</f>
        <v>0.48441000000000001</v>
      </c>
      <c r="F84" s="21">
        <f>'Fuzzy Scores (Source)'!G84</f>
        <v>0.109128</v>
      </c>
      <c r="G84" s="21">
        <f>'Fuzzy Scores (Source)'!H84</f>
        <v>0.31237100000000001</v>
      </c>
      <c r="H84" s="21">
        <f>'Fuzzy Scores (Source)'!I84</f>
        <v>0.114292</v>
      </c>
      <c r="I84" s="21">
        <f>'Fuzzy Scores (Source)'!J84</f>
        <v>0.37266899999999997</v>
      </c>
      <c r="J84" s="22">
        <f t="shared" si="2"/>
        <v>0.37266899999999997</v>
      </c>
    </row>
    <row r="85" spans="1:10" ht="15" customHeight="1" x14ac:dyDescent="0.3">
      <c r="A85" s="20" t="str">
        <f>'Fuzzy Scores (Source)'!A85</f>
        <v>Skyworks Solutions</v>
      </c>
      <c r="B85" s="20">
        <f>'Fuzzy Scores (Source)'!C85</f>
        <v>2025</v>
      </c>
      <c r="C85" s="21">
        <f>'Fuzzy Scores (Source)'!D85</f>
        <v>0.20951</v>
      </c>
      <c r="D85" s="21">
        <f>'Fuzzy Scores (Source)'!E85</f>
        <v>0.60844600000000004</v>
      </c>
      <c r="E85" s="21">
        <f>'Fuzzy Scores (Source)'!F85</f>
        <v>0.75520500000000002</v>
      </c>
      <c r="F85" s="21">
        <f>'Fuzzy Scores (Source)'!G85</f>
        <v>0.16639599999999999</v>
      </c>
      <c r="G85" s="21">
        <f>'Fuzzy Scores (Source)'!H85</f>
        <v>0.54921299999999995</v>
      </c>
      <c r="H85" s="21">
        <f>'Fuzzy Scores (Source)'!I85</f>
        <v>0.17810500000000001</v>
      </c>
      <c r="I85" s="21">
        <f>'Fuzzy Scores (Source)'!J85</f>
        <v>0.46002500000000002</v>
      </c>
      <c r="J85" s="22">
        <f t="shared" si="2"/>
        <v>0.46002500000000002</v>
      </c>
    </row>
    <row r="86" spans="1:10" ht="15" customHeight="1" x14ac:dyDescent="0.3">
      <c r="A86" s="20" t="str">
        <f>'Fuzzy Scores (Source)'!A86</f>
        <v>Taiwan Semiconductor Manufacturing Co.</v>
      </c>
      <c r="B86" s="20">
        <f>'Fuzzy Scores (Source)'!C86</f>
        <v>2023</v>
      </c>
      <c r="C86" s="21">
        <f>'Fuzzy Scores (Source)'!D86</f>
        <v>0.71335400000000004</v>
      </c>
      <c r="D86" s="21">
        <f>'Fuzzy Scores (Source)'!E86</f>
        <v>0.80384599999999995</v>
      </c>
      <c r="E86" s="21">
        <f>'Fuzzy Scores (Source)'!F86</f>
        <v>0.67192600000000002</v>
      </c>
      <c r="F86" s="21">
        <f>'Fuzzy Scores (Source)'!G86</f>
        <v>0.96179199999999998</v>
      </c>
      <c r="G86" s="21">
        <f>'Fuzzy Scores (Source)'!H86</f>
        <v>0.92383199999999999</v>
      </c>
      <c r="H86" s="21">
        <f>'Fuzzy Scores (Source)'!I86</f>
        <v>0.84827600000000003</v>
      </c>
      <c r="I86" s="21">
        <f>'Fuzzy Scores (Source)'!J86</f>
        <v>0.68984500000000004</v>
      </c>
      <c r="J86" s="22">
        <f t="shared" si="2"/>
        <v>0.31015499999999996</v>
      </c>
    </row>
    <row r="87" spans="1:10" ht="15" customHeight="1" x14ac:dyDescent="0.3">
      <c r="A87" s="20" t="str">
        <f>'Fuzzy Scores (Source)'!A87</f>
        <v>Taiwan Semiconductor Manufacturing Co.</v>
      </c>
      <c r="B87" s="20">
        <f>'Fuzzy Scores (Source)'!C87</f>
        <v>2024</v>
      </c>
      <c r="C87" s="21">
        <f>'Fuzzy Scores (Source)'!D87</f>
        <v>0.83605399999999996</v>
      </c>
      <c r="D87" s="21">
        <f>'Fuzzy Scores (Source)'!E87</f>
        <v>0.771976</v>
      </c>
      <c r="E87" s="21">
        <f>'Fuzzy Scores (Source)'!F87</f>
        <v>0.59485100000000002</v>
      </c>
      <c r="F87" s="21">
        <f>'Fuzzy Scores (Source)'!G87</f>
        <v>0.97943500000000006</v>
      </c>
      <c r="G87" s="21">
        <f>'Fuzzy Scores (Source)'!H87</f>
        <v>0.94826699999999997</v>
      </c>
      <c r="H87" s="21">
        <f>'Fuzzy Scores (Source)'!I87</f>
        <v>0.79434400000000005</v>
      </c>
      <c r="I87" s="21">
        <f>'Fuzzy Scores (Source)'!J87</f>
        <v>0.81574199999999997</v>
      </c>
      <c r="J87" s="22">
        <f t="shared" si="2"/>
        <v>0.18425800000000003</v>
      </c>
    </row>
    <row r="88" spans="1:10" ht="15" customHeight="1" x14ac:dyDescent="0.3">
      <c r="A88" s="20" t="str">
        <f>'Fuzzy Scores (Source)'!A88</f>
        <v>Taiwan Semiconductor Manufacturing Co.</v>
      </c>
      <c r="B88" s="20">
        <f>'Fuzzy Scores (Source)'!C88</f>
        <v>2025</v>
      </c>
      <c r="C88" s="21">
        <f>'Fuzzy Scores (Source)'!D88</f>
        <v>0.84989499999999996</v>
      </c>
      <c r="D88" s="21">
        <f>'Fuzzy Scores (Source)'!E88</f>
        <v>0.91300199999999998</v>
      </c>
      <c r="E88" s="21">
        <f>'Fuzzy Scores (Source)'!F88</f>
        <v>0.74072800000000005</v>
      </c>
      <c r="F88" s="21">
        <f>'Fuzzy Scores (Source)'!G88</f>
        <v>0.98089300000000001</v>
      </c>
      <c r="G88" s="21">
        <f>'Fuzzy Scores (Source)'!H88</f>
        <v>0.95</v>
      </c>
      <c r="H88" s="21">
        <f>'Fuzzy Scores (Source)'!I88</f>
        <v>0.95</v>
      </c>
      <c r="I88" s="21">
        <f>'Fuzzy Scores (Source)'!J88</f>
        <v>0.76836300000000002</v>
      </c>
      <c r="J88" s="22">
        <f t="shared" si="2"/>
        <v>0.23163699999999998</v>
      </c>
    </row>
    <row r="89" spans="1:10" ht="15" customHeight="1" x14ac:dyDescent="0.3">
      <c r="A89" s="20" t="str">
        <f>'Fuzzy Scores (Source)'!A89</f>
        <v>Texas Instruments</v>
      </c>
      <c r="B89" s="20">
        <f>'Fuzzy Scores (Source)'!C89</f>
        <v>2023</v>
      </c>
      <c r="C89" s="21">
        <f>'Fuzzy Scores (Source)'!D89</f>
        <v>5.3786E-2</v>
      </c>
      <c r="D89" s="21">
        <f>'Fuzzy Scores (Source)'!E89</f>
        <v>9.2353000000000005E-2</v>
      </c>
      <c r="E89" s="21">
        <f>'Fuzzy Scores (Source)'!F89</f>
        <v>0.95</v>
      </c>
      <c r="F89" s="21">
        <f>'Fuzzy Scores (Source)'!G89</f>
        <v>0.83119500000000002</v>
      </c>
      <c r="G89" s="21">
        <f>'Fuzzy Scores (Source)'!H89</f>
        <v>0.65212300000000001</v>
      </c>
      <c r="H89" s="21">
        <f>'Fuzzy Scores (Source)'!I89</f>
        <v>0.91603800000000002</v>
      </c>
      <c r="I89" s="21">
        <f>'Fuzzy Scores (Source)'!J89</f>
        <v>0.86846599999999996</v>
      </c>
      <c r="J89" s="22">
        <f t="shared" si="2"/>
        <v>0.13153400000000004</v>
      </c>
    </row>
    <row r="90" spans="1:10" ht="15" customHeight="1" x14ac:dyDescent="0.3">
      <c r="A90" s="20" t="str">
        <f>'Fuzzy Scores (Source)'!A90</f>
        <v>Texas Instruments</v>
      </c>
      <c r="B90" s="20">
        <f>'Fuzzy Scores (Source)'!C90</f>
        <v>2024</v>
      </c>
      <c r="C90" s="21">
        <f>'Fuzzy Scores (Source)'!D90</f>
        <v>0.12951799999999999</v>
      </c>
      <c r="D90" s="21">
        <f>'Fuzzy Scores (Source)'!E90</f>
        <v>0.44528600000000002</v>
      </c>
      <c r="E90" s="21">
        <f>'Fuzzy Scores (Source)'!F90</f>
        <v>0.94490499999999999</v>
      </c>
      <c r="F90" s="21">
        <f>'Fuzzy Scores (Source)'!G90</f>
        <v>0.90630100000000002</v>
      </c>
      <c r="G90" s="21">
        <f>'Fuzzy Scores (Source)'!H90</f>
        <v>0.64393400000000001</v>
      </c>
      <c r="H90" s="21">
        <f>'Fuzzy Scores (Source)'!I90</f>
        <v>0.95</v>
      </c>
      <c r="I90" s="21">
        <f>'Fuzzy Scores (Source)'!J90</f>
        <v>0.97029399999999999</v>
      </c>
      <c r="J90" s="22">
        <f t="shared" si="2"/>
        <v>2.970600000000001E-2</v>
      </c>
    </row>
    <row r="91" spans="1:10" ht="15" customHeight="1" x14ac:dyDescent="0.3">
      <c r="A91" s="20" t="str">
        <f>'Fuzzy Scores (Source)'!A91</f>
        <v>Texas Instruments</v>
      </c>
      <c r="B91" s="20">
        <f>'Fuzzy Scores (Source)'!C91</f>
        <v>2025</v>
      </c>
      <c r="C91" s="21">
        <f>'Fuzzy Scores (Source)'!D91</f>
        <v>0.16568099999999999</v>
      </c>
      <c r="D91" s="21">
        <f>'Fuzzy Scores (Source)'!E91</f>
        <v>0.59789599999999998</v>
      </c>
      <c r="E91" s="21">
        <f>'Fuzzy Scores (Source)'!F91</f>
        <v>0.95</v>
      </c>
      <c r="F91" s="21">
        <f>'Fuzzy Scores (Source)'!G91</f>
        <v>0.93009200000000003</v>
      </c>
      <c r="G91" s="21">
        <f>'Fuzzy Scores (Source)'!H91</f>
        <v>0.71415499999999998</v>
      </c>
      <c r="H91" s="21">
        <f>'Fuzzy Scores (Source)'!I91</f>
        <v>0.93801400000000001</v>
      </c>
      <c r="I91" s="21">
        <f>'Fuzzy Scores (Source)'!J91</f>
        <v>0.96318000000000004</v>
      </c>
      <c r="J91" s="22">
        <f t="shared" si="2"/>
        <v>3.6819999999999964E-2</v>
      </c>
    </row>
    <row r="92" spans="1:10" ht="15" customHeight="1" x14ac:dyDescent="0.3">
      <c r="A92" s="20" t="str">
        <f>'Fuzzy Scores (Source)'!A92</f>
        <v>UMS Holdings</v>
      </c>
      <c r="B92" s="20">
        <f>'Fuzzy Scores (Source)'!C92</f>
        <v>2023</v>
      </c>
      <c r="C92" s="21">
        <f>'Fuzzy Scores (Source)'!D92</f>
        <v>4.9093999999999999E-2</v>
      </c>
      <c r="D92" s="21">
        <f>'Fuzzy Scores (Source)'!E92</f>
        <v>2.3306E-2</v>
      </c>
      <c r="E92" s="21">
        <f>'Fuzzy Scores (Source)'!F92</f>
        <v>0.18284800000000001</v>
      </c>
      <c r="F92" s="21">
        <f>'Fuzzy Scores (Source)'!G92</f>
        <v>2.8191000000000001E-2</v>
      </c>
      <c r="G92" s="21">
        <f>'Fuzzy Scores (Source)'!H92</f>
        <v>3.6235000000000003E-2</v>
      </c>
      <c r="H92" s="21">
        <f>'Fuzzy Scores (Source)'!I92</f>
        <v>0.12521399999999999</v>
      </c>
      <c r="I92" s="21">
        <f>'Fuzzy Scores (Source)'!J92</f>
        <v>5.1937999999999998E-2</v>
      </c>
      <c r="J92" s="22">
        <f t="shared" si="2"/>
        <v>5.1937999999999998E-2</v>
      </c>
    </row>
    <row r="93" spans="1:10" ht="15" customHeight="1" x14ac:dyDescent="0.3">
      <c r="A93" s="20" t="str">
        <f>'Fuzzy Scores (Source)'!A93</f>
        <v>UMS Holdings</v>
      </c>
      <c r="B93" s="20">
        <f>'Fuzzy Scores (Source)'!C93</f>
        <v>2024</v>
      </c>
      <c r="C93" s="21">
        <f>'Fuzzy Scores (Source)'!D93</f>
        <v>9.8576999999999998E-2</v>
      </c>
      <c r="D93" s="21">
        <f>'Fuzzy Scores (Source)'!E93</f>
        <v>0.37113200000000002</v>
      </c>
      <c r="E93" s="21">
        <f>'Fuzzy Scores (Source)'!F93</f>
        <v>0.19972699999999999</v>
      </c>
      <c r="F93" s="21">
        <f>'Fuzzy Scores (Source)'!G93</f>
        <v>0.12961500000000001</v>
      </c>
      <c r="G93" s="21">
        <f>'Fuzzy Scores (Source)'!H93</f>
        <v>4.6935999999999999E-2</v>
      </c>
      <c r="H93" s="21">
        <f>'Fuzzy Scores (Source)'!I93</f>
        <v>6.6374000000000002E-2</v>
      </c>
      <c r="I93" s="21">
        <f>'Fuzzy Scores (Source)'!J93</f>
        <v>3.8240999999999997E-2</v>
      </c>
      <c r="J93" s="22">
        <f t="shared" si="2"/>
        <v>3.8240999999999997E-2</v>
      </c>
    </row>
    <row r="94" spans="1:10" ht="15" customHeight="1" x14ac:dyDescent="0.3">
      <c r="A94" s="20" t="str">
        <f>'Fuzzy Scores (Source)'!A94</f>
        <v>UMS Holdings</v>
      </c>
      <c r="B94" s="20">
        <f>'Fuzzy Scores (Source)'!C94</f>
        <v>2025</v>
      </c>
      <c r="C94" s="21">
        <f>'Fuzzy Scores (Source)'!D94</f>
        <v>0.140759</v>
      </c>
      <c r="D94" s="21">
        <f>'Fuzzy Scores (Source)'!E94</f>
        <v>0.47804099999999999</v>
      </c>
      <c r="E94" s="21">
        <f>'Fuzzy Scores (Source)'!F94</f>
        <v>0.189942</v>
      </c>
      <c r="F94" s="21">
        <f>'Fuzzy Scores (Source)'!G94</f>
        <v>0.26874300000000001</v>
      </c>
      <c r="G94" s="21">
        <f>'Fuzzy Scores (Source)'!H94</f>
        <v>6.4244999999999997E-2</v>
      </c>
      <c r="H94" s="21">
        <f>'Fuzzy Scores (Source)'!I94</f>
        <v>0.247027</v>
      </c>
      <c r="I94" s="21">
        <f>'Fuzzy Scores (Source)'!J94</f>
        <v>7.2842000000000004E-2</v>
      </c>
      <c r="J94" s="22">
        <f t="shared" si="2"/>
        <v>7.2842000000000004E-2</v>
      </c>
    </row>
    <row r="95" spans="1:10" ht="15" customHeight="1" x14ac:dyDescent="0.3">
      <c r="A95" s="20" t="str">
        <f>'Fuzzy Scores (Source)'!A95</f>
        <v>United Microelectronics Corp.</v>
      </c>
      <c r="B95" s="20">
        <f>'Fuzzy Scores (Source)'!C95</f>
        <v>2023</v>
      </c>
      <c r="C95" s="21">
        <f>'Fuzzy Scores (Source)'!D95</f>
        <v>0.32070300000000002</v>
      </c>
      <c r="D95" s="21">
        <f>'Fuzzy Scores (Source)'!E95</f>
        <v>0.14705699999999999</v>
      </c>
      <c r="E95" s="21">
        <f>'Fuzzy Scores (Source)'!F95</f>
        <v>0.45721699999999998</v>
      </c>
      <c r="F95" s="21">
        <f>'Fuzzy Scores (Source)'!G95</f>
        <v>0.18402499999999999</v>
      </c>
      <c r="G95" s="21">
        <f>'Fuzzy Scores (Source)'!H95</f>
        <v>0.699272</v>
      </c>
      <c r="H95" s="21">
        <f>'Fuzzy Scores (Source)'!I95</f>
        <v>0.79665799999999998</v>
      </c>
      <c r="I95" s="21">
        <f>'Fuzzy Scores (Source)'!J95</f>
        <v>0.17912400000000001</v>
      </c>
      <c r="J95" s="22">
        <f t="shared" si="2"/>
        <v>0.17912400000000001</v>
      </c>
    </row>
    <row r="96" spans="1:10" ht="15" customHeight="1" x14ac:dyDescent="0.3">
      <c r="A96" s="20" t="str">
        <f>'Fuzzy Scores (Source)'!A96</f>
        <v>United Microelectronics Corp.</v>
      </c>
      <c r="B96" s="20">
        <f>'Fuzzy Scores (Source)'!C96</f>
        <v>2024</v>
      </c>
      <c r="C96" s="21">
        <f>'Fuzzy Scores (Source)'!D96</f>
        <v>0.423624</v>
      </c>
      <c r="D96" s="21">
        <f>'Fuzzy Scores (Source)'!E96</f>
        <v>0.37113200000000002</v>
      </c>
      <c r="E96" s="21">
        <f>'Fuzzy Scores (Source)'!F96</f>
        <v>0.512799</v>
      </c>
      <c r="F96" s="21">
        <f>'Fuzzy Scores (Source)'!G96</f>
        <v>0.57903800000000005</v>
      </c>
      <c r="G96" s="21">
        <f>'Fuzzy Scores (Source)'!H96</f>
        <v>0.76583800000000002</v>
      </c>
      <c r="H96" s="21">
        <f>'Fuzzy Scores (Source)'!I96</f>
        <v>0.83889400000000003</v>
      </c>
      <c r="I96" s="21">
        <f>'Fuzzy Scores (Source)'!J96</f>
        <v>0.30550100000000002</v>
      </c>
      <c r="J96" s="22">
        <f t="shared" si="2"/>
        <v>0.30550100000000002</v>
      </c>
    </row>
    <row r="97" spans="1:10" ht="15" customHeight="1" x14ac:dyDescent="0.3">
      <c r="A97" s="20" t="str">
        <f>'Fuzzy Scores (Source)'!A97</f>
        <v>United Microelectronics Corp.</v>
      </c>
      <c r="B97" s="20">
        <f>'Fuzzy Scores (Source)'!C97</f>
        <v>2025</v>
      </c>
      <c r="C97" s="21">
        <f>'Fuzzy Scores (Source)'!D97</f>
        <v>0.69467199999999996</v>
      </c>
      <c r="D97" s="21">
        <f>'Fuzzy Scores (Source)'!E97</f>
        <v>0.57653100000000002</v>
      </c>
      <c r="E97" s="21">
        <f>'Fuzzy Scores (Source)'!F97</f>
        <v>0.62529299999999999</v>
      </c>
      <c r="F97" s="21">
        <f>'Fuzzy Scores (Source)'!G97</f>
        <v>0.63706099999999999</v>
      </c>
      <c r="G97" s="21">
        <f>'Fuzzy Scores (Source)'!H97</f>
        <v>0.84391700000000003</v>
      </c>
      <c r="H97" s="21">
        <f>'Fuzzy Scores (Source)'!I97</f>
        <v>0.85009800000000002</v>
      </c>
      <c r="I97" s="21">
        <f>'Fuzzy Scores (Source)'!J97</f>
        <v>0.35873100000000002</v>
      </c>
      <c r="J97" s="22">
        <f t="shared" si="2"/>
        <v>0.35873100000000002</v>
      </c>
    </row>
    <row r="98" spans="1:10" ht="15" customHeight="1" x14ac:dyDescent="0.3">
      <c r="A98" s="20" t="str">
        <f>'Fuzzy Scores (Source)'!A98</f>
        <v>Venture Corporation</v>
      </c>
      <c r="B98" s="20">
        <f>'Fuzzy Scores (Source)'!C98</f>
        <v>2023</v>
      </c>
      <c r="C98" s="21">
        <f>'Fuzzy Scores (Source)'!D98</f>
        <v>5.5779000000000002E-2</v>
      </c>
      <c r="D98" s="21">
        <f>'Fuzzy Scores (Source)'!E98</f>
        <v>0.104014</v>
      </c>
      <c r="E98" s="21">
        <f>'Fuzzy Scores (Source)'!F98</f>
        <v>0.164938</v>
      </c>
      <c r="F98" s="21">
        <f>'Fuzzy Scores (Source)'!G98</f>
        <v>0.38606499999999999</v>
      </c>
      <c r="G98" s="21">
        <f>'Fuzzy Scores (Source)'!H98</f>
        <v>0.273698</v>
      </c>
      <c r="H98" s="21">
        <f>'Fuzzy Scores (Source)'!I98</f>
        <v>0.17064199999999999</v>
      </c>
      <c r="I98" s="21">
        <f>'Fuzzy Scores (Source)'!J98</f>
        <v>0.24942900000000001</v>
      </c>
      <c r="J98" s="22">
        <f t="shared" ref="J98:J129" si="3">MIN(I98,1-I98)</f>
        <v>0.24942900000000001</v>
      </c>
    </row>
    <row r="99" spans="1:10" ht="15" customHeight="1" x14ac:dyDescent="0.3">
      <c r="A99" s="20" t="str">
        <f>'Fuzzy Scores (Source)'!A99</f>
        <v>Venture Corporation</v>
      </c>
      <c r="B99" s="20">
        <f>'Fuzzy Scores (Source)'!C99</f>
        <v>2024</v>
      </c>
      <c r="C99" s="21">
        <f>'Fuzzy Scores (Source)'!D99</f>
        <v>0.13392000000000001</v>
      </c>
      <c r="D99" s="21">
        <f>'Fuzzy Scores (Source)'!E99</f>
        <v>0.29339799999999999</v>
      </c>
      <c r="E99" s="21">
        <f>'Fuzzy Scores (Source)'!F99</f>
        <v>0.204759</v>
      </c>
      <c r="F99" s="21">
        <f>'Fuzzy Scores (Source)'!G99</f>
        <v>0.48169699999999999</v>
      </c>
      <c r="G99" s="21">
        <f>'Fuzzy Scores (Source)'!H99</f>
        <v>0.26551999999999998</v>
      </c>
      <c r="H99" s="21">
        <f>'Fuzzy Scores (Source)'!I99</f>
        <v>0.50711200000000001</v>
      </c>
      <c r="I99" s="21">
        <f>'Fuzzy Scores (Source)'!J99</f>
        <v>0.26472800000000002</v>
      </c>
      <c r="J99" s="22">
        <f t="shared" si="3"/>
        <v>0.26472800000000002</v>
      </c>
    </row>
    <row r="100" spans="1:10" ht="15" customHeight="1" x14ac:dyDescent="0.3">
      <c r="A100" s="20" t="str">
        <f>'Fuzzy Scores (Source)'!A100</f>
        <v>Venture Corporation</v>
      </c>
      <c r="B100" s="20">
        <f>'Fuzzy Scores (Source)'!C100</f>
        <v>2025</v>
      </c>
      <c r="C100" s="21">
        <f>'Fuzzy Scores (Source)'!D100</f>
        <v>0.21271499999999999</v>
      </c>
      <c r="D100" s="21">
        <f>'Fuzzy Scores (Source)'!E100</f>
        <v>0.61542399999999997</v>
      </c>
      <c r="E100" s="21">
        <f>'Fuzzy Scores (Source)'!F100</f>
        <v>0.30768400000000001</v>
      </c>
      <c r="F100" s="21">
        <f>'Fuzzy Scores (Source)'!G100</f>
        <v>0.791099</v>
      </c>
      <c r="G100" s="21">
        <f>'Fuzzy Scores (Source)'!H100</f>
        <v>0.55365399999999998</v>
      </c>
      <c r="H100" s="21">
        <f>'Fuzzy Scores (Source)'!I100</f>
        <v>0.36718600000000001</v>
      </c>
      <c r="I100" s="21">
        <f>'Fuzzy Scores (Source)'!J100</f>
        <v>0.46500399999999997</v>
      </c>
      <c r="J100" s="22">
        <f t="shared" si="3"/>
        <v>0.46500399999999997</v>
      </c>
    </row>
    <row r="101" spans="1:10" ht="15" customHeight="1" x14ac:dyDescent="0.3">
      <c r="A101" s="20" t="str">
        <f>'Fuzzy Scores (Source)'!A101</f>
        <v>Wolfspeed</v>
      </c>
      <c r="B101" s="20">
        <f>'Fuzzy Scores (Source)'!C101</f>
        <v>2023</v>
      </c>
      <c r="C101" s="21">
        <f>'Fuzzy Scores (Source)'!D101</f>
        <v>4.6468000000000002E-2</v>
      </c>
      <c r="D101" s="21">
        <f>'Fuzzy Scores (Source)'!E101</f>
        <v>4.7953000000000003E-2</v>
      </c>
      <c r="E101" s="21">
        <f>'Fuzzy Scores (Source)'!F101</f>
        <v>3.0870000000000002E-2</v>
      </c>
      <c r="F101" s="21">
        <f>'Fuzzy Scores (Source)'!G101</f>
        <v>3.3270000000000001E-2</v>
      </c>
      <c r="G101" s="21">
        <f>'Fuzzy Scores (Source)'!H101</f>
        <v>0.373058</v>
      </c>
      <c r="H101" s="21">
        <f>'Fuzzy Scores (Source)'!I101</f>
        <v>4.9509999999999998E-2</v>
      </c>
      <c r="I101" s="21">
        <f>'Fuzzy Scores (Source)'!J101</f>
        <v>0.31839699999999999</v>
      </c>
      <c r="J101" s="22">
        <f t="shared" si="3"/>
        <v>0.31839699999999999</v>
      </c>
    </row>
    <row r="102" spans="1:10" ht="15" customHeight="1" x14ac:dyDescent="0.3">
      <c r="A102" s="20" t="str">
        <f>'Fuzzy Scores (Source)'!A102</f>
        <v>Wolfspeed</v>
      </c>
      <c r="B102" s="20">
        <f>'Fuzzy Scores (Source)'!C102</f>
        <v>2024</v>
      </c>
      <c r="C102" s="21">
        <f>'Fuzzy Scores (Source)'!D102</f>
        <v>0.1003</v>
      </c>
      <c r="D102" s="21">
        <f>'Fuzzy Scores (Source)'!E102</f>
        <v>0.31194499999999997</v>
      </c>
      <c r="E102" s="21">
        <f>'Fuzzy Scores (Source)'!F102</f>
        <v>5.0596000000000002E-2</v>
      </c>
      <c r="F102" s="21">
        <f>'Fuzzy Scores (Source)'!G102</f>
        <v>9.5680000000000001E-2</v>
      </c>
      <c r="G102" s="21">
        <f>'Fuzzy Scores (Source)'!H102</f>
        <v>0.25750000000000001</v>
      </c>
      <c r="H102" s="21">
        <f>'Fuzzy Scores (Source)'!I102</f>
        <v>6.0231E-2</v>
      </c>
      <c r="I102" s="21">
        <f>'Fuzzy Scores (Source)'!J102</f>
        <v>0.30126799999999998</v>
      </c>
      <c r="J102" s="22">
        <f t="shared" si="3"/>
        <v>0.30126799999999998</v>
      </c>
    </row>
    <row r="103" spans="1:10" ht="15" customHeight="1" x14ac:dyDescent="0.3">
      <c r="A103" s="20" t="str">
        <f>'Fuzzy Scores (Source)'!A103</f>
        <v>Wolfspeed</v>
      </c>
      <c r="B103" s="20">
        <f>'Fuzzy Scores (Source)'!C103</f>
        <v>2025</v>
      </c>
      <c r="C103" s="21">
        <f>'Fuzzy Scores (Source)'!D103</f>
        <v>0.18514900000000001</v>
      </c>
      <c r="D103" s="21">
        <f>'Fuzzy Scores (Source)'!E103</f>
        <v>0.50367300000000004</v>
      </c>
      <c r="E103" s="21">
        <f>'Fuzzy Scores (Source)'!F103</f>
        <v>5.6936E-2</v>
      </c>
      <c r="F103" s="21">
        <f>'Fuzzy Scores (Source)'!G103</f>
        <v>0.15973300000000001</v>
      </c>
      <c r="G103" s="21">
        <f>'Fuzzy Scores (Source)'!H103</f>
        <v>0.13856099999999999</v>
      </c>
      <c r="H103" s="21">
        <f>'Fuzzy Scores (Source)'!I103</f>
        <v>0.19787199999999999</v>
      </c>
      <c r="I103" s="21">
        <f>'Fuzzy Scores (Source)'!J103</f>
        <v>6.6361000000000003E-2</v>
      </c>
      <c r="J103" s="22">
        <f t="shared" si="3"/>
        <v>6.6361000000000003E-2</v>
      </c>
    </row>
    <row r="104" spans="1:10" ht="15" customHeight="1" x14ac:dyDescent="0.3">
      <c r="A104" s="20" t="str">
        <f>'Fuzzy Scores (Source)'!A104</f>
        <v>onsemi</v>
      </c>
      <c r="B104" s="20">
        <f>'Fuzzy Scores (Source)'!C104</f>
        <v>2023</v>
      </c>
      <c r="C104" s="21">
        <f>'Fuzzy Scores (Source)'!D104</f>
        <v>0.34201700000000002</v>
      </c>
      <c r="D104" s="21">
        <f>'Fuzzy Scores (Source)'!E104</f>
        <v>0.24184</v>
      </c>
      <c r="E104" s="21">
        <f>'Fuzzy Scores (Source)'!F104</f>
        <v>0.95</v>
      </c>
      <c r="F104" s="21">
        <f>'Fuzzy Scores (Source)'!G104</f>
        <v>0.150146</v>
      </c>
      <c r="G104" s="21">
        <f>'Fuzzy Scores (Source)'!H104</f>
        <v>0.61462600000000001</v>
      </c>
      <c r="H104" s="21">
        <f>'Fuzzy Scores (Source)'!I104</f>
        <v>0.189773</v>
      </c>
      <c r="I104" s="21">
        <f>'Fuzzy Scores (Source)'!J104</f>
        <v>0.194326</v>
      </c>
      <c r="J104" s="22">
        <f t="shared" si="3"/>
        <v>0.194326</v>
      </c>
    </row>
    <row r="105" spans="1:10" ht="15" customHeight="1" x14ac:dyDescent="0.3">
      <c r="A105" s="20" t="str">
        <f>'Fuzzy Scores (Source)'!A105</f>
        <v>onsemi</v>
      </c>
      <c r="B105" s="20">
        <f>'Fuzzy Scores (Source)'!C105</f>
        <v>2024</v>
      </c>
      <c r="C105" s="21">
        <f>'Fuzzy Scores (Source)'!D105</f>
        <v>0.501</v>
      </c>
      <c r="D105" s="21">
        <f>'Fuzzy Scores (Source)'!E105</f>
        <v>0.45616600000000002</v>
      </c>
      <c r="E105" s="21">
        <f>'Fuzzy Scores (Source)'!F105</f>
        <v>0.95</v>
      </c>
      <c r="F105" s="21">
        <f>'Fuzzy Scores (Source)'!G105</f>
        <v>0.47560400000000003</v>
      </c>
      <c r="G105" s="21">
        <f>'Fuzzy Scores (Source)'!H105</f>
        <v>0.71780600000000006</v>
      </c>
      <c r="H105" s="21">
        <f>'Fuzzy Scores (Source)'!I105</f>
        <v>0.58797699999999997</v>
      </c>
      <c r="I105" s="21">
        <f>'Fuzzy Scores (Source)'!J105</f>
        <v>0.23834900000000001</v>
      </c>
      <c r="J105" s="22">
        <f t="shared" si="3"/>
        <v>0.23834900000000001</v>
      </c>
    </row>
    <row r="106" spans="1:10" ht="15" customHeight="1" x14ac:dyDescent="0.3">
      <c r="A106" s="20" t="str">
        <f>'Fuzzy Scores (Source)'!A106</f>
        <v>onsemi</v>
      </c>
      <c r="B106" s="20">
        <f>'Fuzzy Scores (Source)'!C106</f>
        <v>2025</v>
      </c>
      <c r="C106" s="21">
        <f>'Fuzzy Scores (Source)'!D106</f>
        <v>0.60669600000000001</v>
      </c>
      <c r="D106" s="21">
        <f>'Fuzzy Scores (Source)'!E106</f>
        <v>0.67259500000000005</v>
      </c>
      <c r="E106" s="21">
        <f>'Fuzzy Scores (Source)'!F106</f>
        <v>0.95</v>
      </c>
      <c r="F106" s="21">
        <f>'Fuzzy Scores (Source)'!G106</f>
        <v>0.54674900000000004</v>
      </c>
      <c r="G106" s="21">
        <f>'Fuzzy Scores (Source)'!H106</f>
        <v>0.75271399999999999</v>
      </c>
      <c r="H106" s="21">
        <f>'Fuzzy Scores (Source)'!I106</f>
        <v>0.42286299999999999</v>
      </c>
      <c r="I106" s="21">
        <f>'Fuzzy Scores (Source)'!J106</f>
        <v>0.36335200000000001</v>
      </c>
      <c r="J106" s="22">
        <f t="shared" si="3"/>
        <v>0.36335200000000001</v>
      </c>
    </row>
  </sheetData>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106"/>
  <sheetViews>
    <sheetView tabSelected="1" zoomScaleNormal="100" workbookViewId="0">
      <pane xSplit="2" ySplit="1" topLeftCell="C2" activePane="bottomRight" state="frozen"/>
      <selection pane="topRight" activeCell="C1" sqref="C1"/>
      <selection pane="bottomLeft" activeCell="A2" sqref="A2"/>
      <selection pane="bottomRight"/>
    </sheetView>
  </sheetViews>
  <sheetFormatPr defaultColWidth="8.6640625" defaultRowHeight="14.4" x14ac:dyDescent="0.3"/>
  <cols>
    <col min="1" max="1" width="40" customWidth="1"/>
    <col min="2" max="10" width="12" customWidth="1"/>
  </cols>
  <sheetData>
    <row r="1" spans="1:10" ht="27.75" customHeight="1" x14ac:dyDescent="0.3">
      <c r="A1" s="17" t="s">
        <v>79</v>
      </c>
      <c r="B1" s="17" t="s">
        <v>198</v>
      </c>
      <c r="C1" s="17" t="s">
        <v>400</v>
      </c>
      <c r="D1" s="17" t="s">
        <v>401</v>
      </c>
      <c r="E1" s="17" t="s">
        <v>402</v>
      </c>
      <c r="F1" s="17" t="s">
        <v>403</v>
      </c>
      <c r="G1" s="17" t="s">
        <v>404</v>
      </c>
      <c r="H1" s="17" t="s">
        <v>405</v>
      </c>
      <c r="I1" s="17" t="s">
        <v>406</v>
      </c>
      <c r="J1" s="17" t="s">
        <v>450</v>
      </c>
    </row>
    <row r="2" spans="1:10" ht="15" customHeight="1" x14ac:dyDescent="0.3">
      <c r="A2" s="20" t="str">
        <f>'Raw Data (0-4 Scores)'!A2</f>
        <v>AEM Holdings</v>
      </c>
      <c r="B2" s="20">
        <f>'Raw Data (0-4 Scores)'!E2</f>
        <v>2023</v>
      </c>
      <c r="C2" s="22">
        <f>IF('Raw Data (0-4 Scores)'!J2='Analysis Settings'!$F$15,'Analysis Settings'!$B$9,1/(1+EXP(-'Analysis Settings'!$B$8*IF('Raw Data (0-4 Scores)'!J2&gt;'Analysis Settings'!$F$15,('Raw Data (0-4 Scores)'!J2-'Analysis Settings'!$F$15)/('Analysis Settings'!$G$15-'Analysis Settings'!$F$15),('Raw Data (0-4 Scores)'!J2-'Analysis Settings'!$F$15)/('Analysis Settings'!$F$15-'Analysis Settings'!$E$15)))))</f>
        <v>0.69517863274349834</v>
      </c>
      <c r="D2" s="22">
        <f>IF('Raw Data (0-4 Scores)'!K2='Analysis Settings'!$F$16,'Analysis Settings'!$B$9,1/(1+EXP(-'Analysis Settings'!$B$8*IF('Raw Data (0-4 Scores)'!K2&gt;'Analysis Settings'!$F$16,('Raw Data (0-4 Scores)'!K2-'Analysis Settings'!$F$16)/('Analysis Settings'!$G$16-'Analysis Settings'!$F$16),('Raw Data (0-4 Scores)'!K2-'Analysis Settings'!$F$16)/('Analysis Settings'!$F$16-'Analysis Settings'!$E$16)))))</f>
        <v>8.9146703051333383E-3</v>
      </c>
      <c r="E2" s="22">
        <f>IF('Raw Data (0-4 Scores)'!L2='Analysis Settings'!$F$17,'Analysis Settings'!$B$9,1/(1+EXP(-'Analysis Settings'!$B$8*IF('Raw Data (0-4 Scores)'!L2&gt;'Analysis Settings'!$F$17,('Raw Data (0-4 Scores)'!L2-'Analysis Settings'!$F$17)/('Analysis Settings'!$G$17-'Analysis Settings'!$F$17),('Raw Data (0-4 Scores)'!L2-'Analysis Settings'!$F$17)/('Analysis Settings'!$F$17-'Analysis Settings'!$E$17)))))</f>
        <v>0.31109639827217556</v>
      </c>
      <c r="F2" s="22">
        <f>IF('Raw Data (0-4 Scores)'!M2='Analysis Settings'!$F$18,'Analysis Settings'!$B$9,1/(1+EXP(-'Analysis Settings'!$B$8*IF('Raw Data (0-4 Scores)'!M2&gt;'Analysis Settings'!$F$18,('Raw Data (0-4 Scores)'!M2-'Analysis Settings'!$F$18)/('Analysis Settings'!$G$18-'Analysis Settings'!$F$18),('Raw Data (0-4 Scores)'!M2-'Analysis Settings'!$F$18)/('Analysis Settings'!$F$18-'Analysis Settings'!$E$18)))))</f>
        <v>0.18660549686337077</v>
      </c>
      <c r="G2" s="22">
        <f>IF('Raw Data (0-4 Scores)'!N2='Analysis Settings'!$F$19,'Analysis Settings'!$B$9,1/(1+EXP(-'Analysis Settings'!$B$8*IF('Raw Data (0-4 Scores)'!N2&gt;'Analysis Settings'!$F$19,('Raw Data (0-4 Scores)'!N2-'Analysis Settings'!$F$19)/('Analysis Settings'!$G$19-'Analysis Settings'!$F$19),('Raw Data (0-4 Scores)'!N2-'Analysis Settings'!$F$19)/('Analysis Settings'!$F$19-'Analysis Settings'!$E$19)))))</f>
        <v>2.3215690301146001E-2</v>
      </c>
      <c r="H2" s="22">
        <f>IF('Raw Data (0-4 Scores)'!O2='Analysis Settings'!$F$20,'Analysis Settings'!$B$9,1/(1+EXP(-'Analysis Settings'!$B$8*IF('Raw Data (0-4 Scores)'!O2&gt;'Analysis Settings'!$F$20,('Raw Data (0-4 Scores)'!O2-'Analysis Settings'!$F$20)/('Analysis Settings'!$G$20-'Analysis Settings'!$F$20),('Raw Data (0-4 Scores)'!O2-'Analysis Settings'!$F$20)/('Analysis Settings'!$F$20-'Analysis Settings'!$E$20)))))</f>
        <v>9.6409317267619671E-2</v>
      </c>
      <c r="I2" s="22">
        <f>IF('Raw Data (0-4 Scores)'!P2='Analysis Settings'!$F$21,'Analysis Settings'!$B$9,1/(1+EXP(-'Analysis Settings'!$B$8*IF('Raw Data (0-4 Scores)'!P2&gt;'Analysis Settings'!$F$21,('Raw Data (0-4 Scores)'!P2-'Analysis Settings'!$F$21)/('Analysis Settings'!$G$21-'Analysis Settings'!$F$21),('Raw Data (0-4 Scores)'!P2-'Analysis Settings'!$F$21)/('Analysis Settings'!$F$21-'Analysis Settings'!$E$21)))))</f>
        <v>0.25172328845138858</v>
      </c>
      <c r="J2" s="22">
        <f t="shared" ref="J2:J33" si="0">MIN(I2,1-I2)</f>
        <v>0.25172328845138858</v>
      </c>
    </row>
    <row r="3" spans="1:10" ht="15" customHeight="1" x14ac:dyDescent="0.3">
      <c r="A3" s="20" t="str">
        <f>'Raw Data (0-4 Scores)'!A3</f>
        <v>AEM Holdings</v>
      </c>
      <c r="B3" s="20">
        <f>'Raw Data (0-4 Scores)'!E3</f>
        <v>2024</v>
      </c>
      <c r="C3" s="22">
        <f>IF('Raw Data (0-4 Scores)'!J3='Analysis Settings'!$F$15,'Analysis Settings'!$B$9,1/(1+EXP(-'Analysis Settings'!$B$8*IF('Raw Data (0-4 Scores)'!J3&gt;'Analysis Settings'!$F$15,('Raw Data (0-4 Scores)'!J3-'Analysis Settings'!$F$15)/('Analysis Settings'!$G$15-'Analysis Settings'!$F$15),('Raw Data (0-4 Scores)'!J3-'Analysis Settings'!$F$15)/('Analysis Settings'!$F$15-'Analysis Settings'!$E$15)))))</f>
        <v>0.95530702874889584</v>
      </c>
      <c r="D3" s="22">
        <f>IF('Raw Data (0-4 Scores)'!K3='Analysis Settings'!$F$16,'Analysis Settings'!$B$9,1/(1+EXP(-'Analysis Settings'!$B$8*IF('Raw Data (0-4 Scores)'!K3&gt;'Analysis Settings'!$F$16,('Raw Data (0-4 Scores)'!K3-'Analysis Settings'!$F$16)/('Analysis Settings'!$G$16-'Analysis Settings'!$F$16),('Raw Data (0-4 Scores)'!K3-'Analysis Settings'!$F$16)/('Analysis Settings'!$F$16-'Analysis Settings'!$E$16)))))</f>
        <v>3.5647713715120405E-2</v>
      </c>
      <c r="E3" s="22">
        <f>IF('Raw Data (0-4 Scores)'!L3='Analysis Settings'!$F$17,'Analysis Settings'!$B$9,1/(1+EXP(-'Analysis Settings'!$B$8*IF('Raw Data (0-4 Scores)'!L3&gt;'Analysis Settings'!$F$17,('Raw Data (0-4 Scores)'!L3-'Analysis Settings'!$F$17)/('Analysis Settings'!$G$17-'Analysis Settings'!$F$17),('Raw Data (0-4 Scores)'!L3-'Analysis Settings'!$F$17)/('Analysis Settings'!$F$17-'Analysis Settings'!$E$17)))))</f>
        <v>0.35689008625740209</v>
      </c>
      <c r="F3" s="22">
        <f>IF('Raw Data (0-4 Scores)'!M3='Analysis Settings'!$F$18,'Analysis Settings'!$B$9,1/(1+EXP(-'Analysis Settings'!$B$8*IF('Raw Data (0-4 Scores)'!M3&gt;'Analysis Settings'!$F$18,('Raw Data (0-4 Scores)'!M3-'Analysis Settings'!$F$18)/('Analysis Settings'!$G$18-'Analysis Settings'!$F$18),('Raw Data (0-4 Scores)'!M3-'Analysis Settings'!$F$18)/('Analysis Settings'!$F$18-'Analysis Settings'!$E$18)))))</f>
        <v>0.38435349916488876</v>
      </c>
      <c r="G3" s="22">
        <f>IF('Raw Data (0-4 Scores)'!N3='Analysis Settings'!$F$19,'Analysis Settings'!$B$9,1/(1+EXP(-'Analysis Settings'!$B$8*IF('Raw Data (0-4 Scores)'!N3&gt;'Analysis Settings'!$F$19,('Raw Data (0-4 Scores)'!N3-'Analysis Settings'!$F$19)/('Analysis Settings'!$G$19-'Analysis Settings'!$F$19),('Raw Data (0-4 Scores)'!N3-'Analysis Settings'!$F$19)/('Analysis Settings'!$F$19-'Analysis Settings'!$E$19)))))</f>
        <v>3.9925560203945623E-2</v>
      </c>
      <c r="H3" s="22">
        <f>IF('Raw Data (0-4 Scores)'!O3='Analysis Settings'!$F$20,'Analysis Settings'!$B$9,1/(1+EXP(-'Analysis Settings'!$B$8*IF('Raw Data (0-4 Scores)'!O3&gt;'Analysis Settings'!$F$20,('Raw Data (0-4 Scores)'!O3-'Analysis Settings'!$F$20)/('Analysis Settings'!$G$20-'Analysis Settings'!$F$20),('Raw Data (0-4 Scores)'!O3-'Analysis Settings'!$F$20)/('Analysis Settings'!$F$20-'Analysis Settings'!$E$20)))))</f>
        <v>3.6673878325323338E-2</v>
      </c>
      <c r="I3" s="22">
        <f>IF('Raw Data (0-4 Scores)'!P3='Analysis Settings'!$F$21,'Analysis Settings'!$B$9,1/(1+EXP(-'Analysis Settings'!$B$8*IF('Raw Data (0-4 Scores)'!P3&gt;'Analysis Settings'!$F$21,('Raw Data (0-4 Scores)'!P3-'Analysis Settings'!$F$21)/('Analysis Settings'!$G$21-'Analysis Settings'!$F$21),('Raw Data (0-4 Scores)'!P3-'Analysis Settings'!$F$21)/('Analysis Settings'!$F$21-'Analysis Settings'!$E$21)))))</f>
        <v>0.39837957722426065</v>
      </c>
      <c r="J3" s="22">
        <f t="shared" si="0"/>
        <v>0.39837957722426065</v>
      </c>
    </row>
    <row r="4" spans="1:10" ht="15" customHeight="1" x14ac:dyDescent="0.3">
      <c r="A4" s="20" t="str">
        <f>'Raw Data (0-4 Scores)'!A4</f>
        <v>AEM Holdings</v>
      </c>
      <c r="B4" s="20">
        <f>'Raw Data (0-4 Scores)'!E4</f>
        <v>2025</v>
      </c>
      <c r="C4" s="22">
        <f>IF('Raw Data (0-4 Scores)'!J4='Analysis Settings'!$F$15,'Analysis Settings'!$B$9,1/(1+EXP(-'Analysis Settings'!$B$8*IF('Raw Data (0-4 Scores)'!J4&gt;'Analysis Settings'!$F$15,('Raw Data (0-4 Scores)'!J4-'Analysis Settings'!$F$15)/('Analysis Settings'!$G$15-'Analysis Settings'!$F$15),('Raw Data (0-4 Scores)'!J4-'Analysis Settings'!$F$15)/('Analysis Settings'!$F$15-'Analysis Settings'!$E$15)))))</f>
        <v>0.96332612167467657</v>
      </c>
      <c r="D4" s="22">
        <f>IF('Raw Data (0-4 Scores)'!K4='Analysis Settings'!$F$16,'Analysis Settings'!$B$9,1/(1+EXP(-'Analysis Settings'!$B$8*IF('Raw Data (0-4 Scores)'!K4&gt;'Analysis Settings'!$F$16,('Raw Data (0-4 Scores)'!K4-'Analysis Settings'!$F$16)/('Analysis Settings'!$G$16-'Analysis Settings'!$F$16),('Raw Data (0-4 Scores)'!K4-'Analysis Settings'!$F$16)/('Analysis Settings'!$F$16-'Analysis Settings'!$E$16)))))</f>
        <v>6.2451170562341639E-2</v>
      </c>
      <c r="E4" s="22">
        <f>IF('Raw Data (0-4 Scores)'!L4='Analysis Settings'!$F$17,'Analysis Settings'!$B$9,1/(1+EXP(-'Analysis Settings'!$B$8*IF('Raw Data (0-4 Scores)'!L4&gt;'Analysis Settings'!$F$17,('Raw Data (0-4 Scores)'!L4-'Analysis Settings'!$F$17)/('Analysis Settings'!$G$17-'Analysis Settings'!$F$17),('Raw Data (0-4 Scores)'!L4-'Analysis Settings'!$F$17)/('Analysis Settings'!$F$17-'Analysis Settings'!$E$17)))))</f>
        <v>0.53673915323893306</v>
      </c>
      <c r="F4" s="22">
        <f>IF('Raw Data (0-4 Scores)'!M4='Analysis Settings'!$F$18,'Analysis Settings'!$B$9,1/(1+EXP(-'Analysis Settings'!$B$8*IF('Raw Data (0-4 Scores)'!M4&gt;'Analysis Settings'!$F$18,('Raw Data (0-4 Scores)'!M4-'Analysis Settings'!$F$18)/('Analysis Settings'!$G$18-'Analysis Settings'!$F$18),('Raw Data (0-4 Scores)'!M4-'Analysis Settings'!$F$18)/('Analysis Settings'!$F$18-'Analysis Settings'!$E$18)))))</f>
        <v>0.79001196543342744</v>
      </c>
      <c r="G4" s="22">
        <f>IF('Raw Data (0-4 Scores)'!N4='Analysis Settings'!$F$19,'Analysis Settings'!$B$9,1/(1+EXP(-'Analysis Settings'!$B$8*IF('Raw Data (0-4 Scores)'!N4&gt;'Analysis Settings'!$F$19,('Raw Data (0-4 Scores)'!N4-'Analysis Settings'!$F$19)/('Analysis Settings'!$G$19-'Analysis Settings'!$F$19),('Raw Data (0-4 Scores)'!N4-'Analysis Settings'!$F$19)/('Analysis Settings'!$F$19-'Analysis Settings'!$E$19)))))</f>
        <v>9.1399756768021381E-2</v>
      </c>
      <c r="H4" s="22">
        <f>IF('Raw Data (0-4 Scores)'!O4='Analysis Settings'!$F$20,'Analysis Settings'!$B$9,1/(1+EXP(-'Analysis Settings'!$B$8*IF('Raw Data (0-4 Scores)'!O4&gt;'Analysis Settings'!$F$20,('Raw Data (0-4 Scores)'!O4-'Analysis Settings'!$F$20)/('Analysis Settings'!$G$20-'Analysis Settings'!$F$20),('Raw Data (0-4 Scores)'!O4-'Analysis Settings'!$F$20)/('Analysis Settings'!$F$20-'Analysis Settings'!$E$20)))))</f>
        <v>0.23545238646229974</v>
      </c>
      <c r="I4" s="22">
        <f>IF('Raw Data (0-4 Scores)'!P4='Analysis Settings'!$F$21,'Analysis Settings'!$B$9,1/(1+EXP(-'Analysis Settings'!$B$8*IF('Raw Data (0-4 Scores)'!P4&gt;'Analysis Settings'!$F$21,('Raw Data (0-4 Scores)'!P4-'Analysis Settings'!$F$21)/('Analysis Settings'!$G$21-'Analysis Settings'!$F$21),('Raw Data (0-4 Scores)'!P4-'Analysis Settings'!$F$21)/('Analysis Settings'!$F$21-'Analysis Settings'!$E$21)))))</f>
        <v>0.60865589704650891</v>
      </c>
      <c r="J4" s="22">
        <f t="shared" si="0"/>
        <v>0.39134410295349109</v>
      </c>
    </row>
    <row r="5" spans="1:10" ht="15" customHeight="1" x14ac:dyDescent="0.3">
      <c r="A5" s="20" t="str">
        <f>'Raw Data (0-4 Scores)'!A5</f>
        <v>ASE Technology Holding</v>
      </c>
      <c r="B5" s="20">
        <f>'Raw Data (0-4 Scores)'!E5</f>
        <v>2023</v>
      </c>
      <c r="C5" s="22">
        <f>IF('Raw Data (0-4 Scores)'!J5='Analysis Settings'!$F$15,'Analysis Settings'!$B$9,1/(1+EXP(-'Analysis Settings'!$B$8*IF('Raw Data (0-4 Scores)'!J5&gt;'Analysis Settings'!$F$15,('Raw Data (0-4 Scores)'!J5-'Analysis Settings'!$F$15)/('Analysis Settings'!$G$15-'Analysis Settings'!$F$15),('Raw Data (0-4 Scores)'!J5-'Analysis Settings'!$F$15)/('Analysis Settings'!$F$15-'Analysis Settings'!$E$15)))))</f>
        <v>0.20038556489636625</v>
      </c>
      <c r="D5" s="22">
        <f>IF('Raw Data (0-4 Scores)'!K5='Analysis Settings'!$F$16,'Analysis Settings'!$B$9,1/(1+EXP(-'Analysis Settings'!$B$8*IF('Raw Data (0-4 Scores)'!K5&gt;'Analysis Settings'!$F$16,('Raw Data (0-4 Scores)'!K5-'Analysis Settings'!$F$16)/('Analysis Settings'!$G$16-'Analysis Settings'!$F$16),('Raw Data (0-4 Scores)'!K5-'Analysis Settings'!$F$16)/('Analysis Settings'!$F$16-'Analysis Settings'!$E$16)))))</f>
        <v>1.5494429857061938E-2</v>
      </c>
      <c r="E5" s="22">
        <f>IF('Raw Data (0-4 Scores)'!L5='Analysis Settings'!$F$17,'Analysis Settings'!$B$9,1/(1+EXP(-'Analysis Settings'!$B$8*IF('Raw Data (0-4 Scores)'!L5&gt;'Analysis Settings'!$F$17,('Raw Data (0-4 Scores)'!L5-'Analysis Settings'!$F$17)/('Analysis Settings'!$G$17-'Analysis Settings'!$F$17),('Raw Data (0-4 Scores)'!L5-'Analysis Settings'!$F$17)/('Analysis Settings'!$F$17-'Analysis Settings'!$E$17)))))</f>
        <v>0.90860024323197863</v>
      </c>
      <c r="F5" s="22">
        <f>IF('Raw Data (0-4 Scores)'!M5='Analysis Settings'!$F$18,'Analysis Settings'!$B$9,1/(1+EXP(-'Analysis Settings'!$B$8*IF('Raw Data (0-4 Scores)'!M5&gt;'Analysis Settings'!$F$18,('Raw Data (0-4 Scores)'!M5-'Analysis Settings'!$F$18)/('Analysis Settings'!$G$18-'Analysis Settings'!$F$18),('Raw Data (0-4 Scores)'!M5-'Analysis Settings'!$F$18)/('Analysis Settings'!$F$18-'Analysis Settings'!$E$18)))))</f>
        <v>0.25730983068931551</v>
      </c>
      <c r="G5" s="22">
        <f>IF('Raw Data (0-4 Scores)'!N5='Analysis Settings'!$F$19,'Analysis Settings'!$B$9,1/(1+EXP(-'Analysis Settings'!$B$8*IF('Raw Data (0-4 Scores)'!N5&gt;'Analysis Settings'!$F$19,('Raw Data (0-4 Scores)'!N5-'Analysis Settings'!$F$19)/('Analysis Settings'!$G$19-'Analysis Settings'!$F$19),('Raw Data (0-4 Scores)'!N5-'Analysis Settings'!$F$19)/('Analysis Settings'!$F$19-'Analysis Settings'!$E$19)))))</f>
        <v>0.99027005261135803</v>
      </c>
      <c r="H5" s="22">
        <f>IF('Raw Data (0-4 Scores)'!O5='Analysis Settings'!$F$20,'Analysis Settings'!$B$9,1/(1+EXP(-'Analysis Settings'!$B$8*IF('Raw Data (0-4 Scores)'!O5&gt;'Analysis Settings'!$F$20,('Raw Data (0-4 Scores)'!O5-'Analysis Settings'!$F$20)/('Analysis Settings'!$G$20-'Analysis Settings'!$F$20),('Raw Data (0-4 Scores)'!O5-'Analysis Settings'!$F$20)/('Analysis Settings'!$F$20-'Analysis Settings'!$E$20)))))</f>
        <v>0.60162042277573946</v>
      </c>
      <c r="I5" s="22">
        <f>IF('Raw Data (0-4 Scores)'!P5='Analysis Settings'!$F$21,'Analysis Settings'!$B$9,1/(1+EXP(-'Analysis Settings'!$B$8*IF('Raw Data (0-4 Scores)'!P5&gt;'Analysis Settings'!$F$21,('Raw Data (0-4 Scores)'!P5-'Analysis Settings'!$F$21)/('Analysis Settings'!$G$21-'Analysis Settings'!$F$21),('Raw Data (0-4 Scores)'!P5-'Analysis Settings'!$F$21)/('Analysis Settings'!$F$21-'Analysis Settings'!$E$21)))))</f>
        <v>0.95000000000000007</v>
      </c>
      <c r="J5" s="22">
        <f t="shared" si="0"/>
        <v>4.9999999999999933E-2</v>
      </c>
    </row>
    <row r="6" spans="1:10" ht="15" customHeight="1" x14ac:dyDescent="0.3">
      <c r="A6" s="20" t="str">
        <f>'Raw Data (0-4 Scores)'!A6</f>
        <v>ASE Technology Holding</v>
      </c>
      <c r="B6" s="20">
        <f>'Raw Data (0-4 Scores)'!E6</f>
        <v>2024</v>
      </c>
      <c r="C6" s="22">
        <f>IF('Raw Data (0-4 Scores)'!J6='Analysis Settings'!$F$15,'Analysis Settings'!$B$9,1/(1+EXP(-'Analysis Settings'!$B$8*IF('Raw Data (0-4 Scores)'!J6&gt;'Analysis Settings'!$F$15,('Raw Data (0-4 Scores)'!J6-'Analysis Settings'!$F$15)/('Analysis Settings'!$G$15-'Analysis Settings'!$F$15),('Raw Data (0-4 Scores)'!J6-'Analysis Settings'!$F$15)/('Analysis Settings'!$F$15-'Analysis Settings'!$E$15)))))</f>
        <v>0.53673915323893306</v>
      </c>
      <c r="D6" s="22">
        <f>IF('Raw Data (0-4 Scores)'!K6='Analysis Settings'!$F$16,'Analysis Settings'!$B$9,1/(1+EXP(-'Analysis Settings'!$B$8*IF('Raw Data (0-4 Scores)'!K6&gt;'Analysis Settings'!$F$16,('Raw Data (0-4 Scores)'!K6-'Analysis Settings'!$F$16)/('Analysis Settings'!$G$16-'Analysis Settings'!$F$16),('Raw Data (0-4 Scores)'!K6-'Analysis Settings'!$F$16)/('Analysis Settings'!$F$16-'Analysis Settings'!$E$16)))))</f>
        <v>6.4197542640305805E-2</v>
      </c>
      <c r="E6" s="22">
        <f>IF('Raw Data (0-4 Scores)'!L6='Analysis Settings'!$F$17,'Analysis Settings'!$B$9,1/(1+EXP(-'Analysis Settings'!$B$8*IF('Raw Data (0-4 Scores)'!L6&gt;'Analysis Settings'!$F$17,('Raw Data (0-4 Scores)'!L6-'Analysis Settings'!$F$17)/('Analysis Settings'!$G$17-'Analysis Settings'!$F$17),('Raw Data (0-4 Scores)'!L6-'Analysis Settings'!$F$17)/('Analysis Settings'!$F$17-'Analysis Settings'!$E$17)))))</f>
        <v>0.96632226456164849</v>
      </c>
      <c r="F6" s="22">
        <f>IF('Raw Data (0-4 Scores)'!M6='Analysis Settings'!$F$18,'Analysis Settings'!$B$9,1/(1+EXP(-'Analysis Settings'!$B$8*IF('Raw Data (0-4 Scores)'!M6&gt;'Analysis Settings'!$F$18,('Raw Data (0-4 Scores)'!M6-'Analysis Settings'!$F$18)/('Analysis Settings'!$G$18-'Analysis Settings'!$F$18),('Raw Data (0-4 Scores)'!M6-'Analysis Settings'!$F$18)/('Analysis Settings'!$F$18-'Analysis Settings'!$E$18)))))</f>
        <v>0.51471794179339414</v>
      </c>
      <c r="G6" s="22">
        <f>IF('Raw Data (0-4 Scores)'!N6='Analysis Settings'!$F$19,'Analysis Settings'!$B$9,1/(1+EXP(-'Analysis Settings'!$B$8*IF('Raw Data (0-4 Scores)'!N6&gt;'Analysis Settings'!$F$19,('Raw Data (0-4 Scores)'!N6-'Analysis Settings'!$F$19)/('Analysis Settings'!$G$19-'Analysis Settings'!$F$19),('Raw Data (0-4 Scores)'!N6-'Analysis Settings'!$F$19)/('Analysis Settings'!$F$19-'Analysis Settings'!$E$19)))))</f>
        <v>0.99723756906077354</v>
      </c>
      <c r="H6" s="22">
        <f>IF('Raw Data (0-4 Scores)'!O6='Analysis Settings'!$F$20,'Analysis Settings'!$B$9,1/(1+EXP(-'Analysis Settings'!$B$8*IF('Raw Data (0-4 Scores)'!O6&gt;'Analysis Settings'!$F$20,('Raw Data (0-4 Scores)'!O6-'Analysis Settings'!$F$20)/('Analysis Settings'!$G$20-'Analysis Settings'!$F$20),('Raw Data (0-4 Scores)'!O6-'Analysis Settings'!$F$20)/('Analysis Settings'!$F$20-'Analysis Settings'!$E$20)))))</f>
        <v>0.39134410295349109</v>
      </c>
      <c r="I6" s="22">
        <f>IF('Raw Data (0-4 Scores)'!P6='Analysis Settings'!$F$21,'Analysis Settings'!$B$9,1/(1+EXP(-'Analysis Settings'!$B$8*IF('Raw Data (0-4 Scores)'!P6&gt;'Analysis Settings'!$F$21,('Raw Data (0-4 Scores)'!P6-'Analysis Settings'!$F$21)/('Analysis Settings'!$G$21-'Analysis Settings'!$F$21),('Raw Data (0-4 Scores)'!P6-'Analysis Settings'!$F$21)/('Analysis Settings'!$F$21-'Analysis Settings'!$E$21)))))</f>
        <v>0.93754882943765827</v>
      </c>
      <c r="J6" s="22">
        <f t="shared" si="0"/>
        <v>6.2451170562341729E-2</v>
      </c>
    </row>
    <row r="7" spans="1:10" ht="15" customHeight="1" x14ac:dyDescent="0.3">
      <c r="A7" s="20" t="str">
        <f>'Raw Data (0-4 Scores)'!A7</f>
        <v>ASE Technology Holding</v>
      </c>
      <c r="B7" s="20">
        <f>'Raw Data (0-4 Scores)'!E7</f>
        <v>2025</v>
      </c>
      <c r="C7" s="22">
        <f>IF('Raw Data (0-4 Scores)'!J7='Analysis Settings'!$F$15,'Analysis Settings'!$B$9,1/(1+EXP(-'Analysis Settings'!$B$8*IF('Raw Data (0-4 Scores)'!J7&gt;'Analysis Settings'!$F$15,('Raw Data (0-4 Scores)'!J7-'Analysis Settings'!$F$15)/('Analysis Settings'!$G$15-'Analysis Settings'!$F$15),('Raw Data (0-4 Scores)'!J7-'Analysis Settings'!$F$15)/('Analysis Settings'!$F$15-'Analysis Settings'!$E$15)))))</f>
        <v>0.4413820109527673</v>
      </c>
      <c r="D7" s="22">
        <f>IF('Raw Data (0-4 Scores)'!K7='Analysis Settings'!$F$16,'Analysis Settings'!$B$9,1/(1+EXP(-'Analysis Settings'!$B$8*IF('Raw Data (0-4 Scores)'!K7&gt;'Analysis Settings'!$F$16,('Raw Data (0-4 Scores)'!K7-'Analysis Settings'!$F$16)/('Analysis Settings'!$G$16-'Analysis Settings'!$F$16),('Raw Data (0-4 Scores)'!K7-'Analysis Settings'!$F$16)/('Analysis Settings'!$F$16-'Analysis Settings'!$E$16)))))</f>
        <v>0.12854498369787987</v>
      </c>
      <c r="E7" s="22">
        <f>IF('Raw Data (0-4 Scores)'!L7='Analysis Settings'!$F$17,'Analysis Settings'!$B$9,1/(1+EXP(-'Analysis Settings'!$B$8*IF('Raw Data (0-4 Scores)'!L7&gt;'Analysis Settings'!$F$17,('Raw Data (0-4 Scores)'!L7-'Analysis Settings'!$F$17)/('Analysis Settings'!$G$17-'Analysis Settings'!$F$17),('Raw Data (0-4 Scores)'!L7-'Analysis Settings'!$F$17)/('Analysis Settings'!$F$17-'Analysis Settings'!$E$17)))))</f>
        <v>0.96118792333927039</v>
      </c>
      <c r="F7" s="22">
        <f>IF('Raw Data (0-4 Scores)'!M7='Analysis Settings'!$F$18,'Analysis Settings'!$B$9,1/(1+EXP(-'Analysis Settings'!$B$8*IF('Raw Data (0-4 Scores)'!M7&gt;'Analysis Settings'!$F$18,('Raw Data (0-4 Scores)'!M7-'Analysis Settings'!$F$18)/('Analysis Settings'!$G$18-'Analysis Settings'!$F$18),('Raw Data (0-4 Scores)'!M7-'Analysis Settings'!$F$18)/('Analysis Settings'!$F$18-'Analysis Settings'!$E$18)))))</f>
        <v>0.52941040032067899</v>
      </c>
      <c r="G7" s="22">
        <f>IF('Raw Data (0-4 Scores)'!N7='Analysis Settings'!$F$19,'Analysis Settings'!$B$9,1/(1+EXP(-'Analysis Settings'!$B$8*IF('Raw Data (0-4 Scores)'!N7&gt;'Analysis Settings'!$F$19,('Raw Data (0-4 Scores)'!N7-'Analysis Settings'!$F$19)/('Analysis Settings'!$G$19-'Analysis Settings'!$F$19),('Raw Data (0-4 Scores)'!N7-'Analysis Settings'!$F$19)/('Analysis Settings'!$F$19-'Analysis Settings'!$E$19)))))</f>
        <v>0.99723756906077354</v>
      </c>
      <c r="H7" s="22">
        <f>IF('Raw Data (0-4 Scores)'!O7='Analysis Settings'!$F$20,'Analysis Settings'!$B$9,1/(1+EXP(-'Analysis Settings'!$B$8*IF('Raw Data (0-4 Scores)'!O7&gt;'Analysis Settings'!$F$20,('Raw Data (0-4 Scores)'!O7-'Analysis Settings'!$F$20)/('Analysis Settings'!$G$20-'Analysis Settings'!$F$20),('Raw Data (0-4 Scores)'!O7-'Analysis Settings'!$F$20)/('Analysis Settings'!$F$20-'Analysis Settings'!$E$20)))))</f>
        <v>0.70751215384548949</v>
      </c>
      <c r="I7" s="22">
        <f>IF('Raw Data (0-4 Scores)'!P7='Analysis Settings'!$F$21,'Analysis Settings'!$B$9,1/(1+EXP(-'Analysis Settings'!$B$8*IF('Raw Data (0-4 Scores)'!P7&gt;'Analysis Settings'!$F$21,('Raw Data (0-4 Scores)'!P7-'Analysis Settings'!$F$21)/('Analysis Settings'!$G$21-'Analysis Settings'!$F$21),('Raw Data (0-4 Scores)'!P7-'Analysis Settings'!$F$21)/('Analysis Settings'!$F$21-'Analysis Settings'!$E$21)))))</f>
        <v>0.97320072587687156</v>
      </c>
      <c r="J7" s="22">
        <f t="shared" si="0"/>
        <v>2.6799274123128436E-2</v>
      </c>
    </row>
    <row r="8" spans="1:10" ht="15" customHeight="1" x14ac:dyDescent="0.3">
      <c r="A8" s="20" t="str">
        <f>'Raw Data (0-4 Scores)'!A8</f>
        <v>Advanced Micro Devices</v>
      </c>
      <c r="B8" s="20">
        <f>'Raw Data (0-4 Scores)'!E8</f>
        <v>2023</v>
      </c>
      <c r="C8" s="22">
        <f>IF('Raw Data (0-4 Scores)'!J8='Analysis Settings'!$F$15,'Analysis Settings'!$B$9,1/(1+EXP(-'Analysis Settings'!$B$8*IF('Raw Data (0-4 Scores)'!J8&gt;'Analysis Settings'!$F$15,('Raw Data (0-4 Scores)'!J8-'Analysis Settings'!$F$15)/('Analysis Settings'!$G$15-'Analysis Settings'!$F$15),('Raw Data (0-4 Scores)'!J8-'Analysis Settings'!$F$15)/('Analysis Settings'!$F$15-'Analysis Settings'!$E$15)))))</f>
        <v>0.98309881317332692</v>
      </c>
      <c r="D8" s="22">
        <f>IF('Raw Data (0-4 Scores)'!K8='Analysis Settings'!$F$16,'Analysis Settings'!$B$9,1/(1+EXP(-'Analysis Settings'!$B$8*IF('Raw Data (0-4 Scores)'!K8&gt;'Analysis Settings'!$F$16,('Raw Data (0-4 Scores)'!K8-'Analysis Settings'!$F$16)/('Analysis Settings'!$G$16-'Analysis Settings'!$F$16),('Raw Data (0-4 Scores)'!K8-'Analysis Settings'!$F$16)/('Analysis Settings'!$F$16-'Analysis Settings'!$E$16)))))</f>
        <v>0.9035906827323803</v>
      </c>
      <c r="E8" s="22">
        <f>IF('Raw Data (0-4 Scores)'!L8='Analysis Settings'!$F$17,'Analysis Settings'!$B$9,1/(1+EXP(-'Analysis Settings'!$B$8*IF('Raw Data (0-4 Scores)'!L8&gt;'Analysis Settings'!$F$17,('Raw Data (0-4 Scores)'!L8-'Analysis Settings'!$F$17)/('Analysis Settings'!$G$17-'Analysis Settings'!$F$17),('Raw Data (0-4 Scores)'!L8-'Analysis Settings'!$F$17)/('Analysis Settings'!$F$17-'Analysis Settings'!$E$17)))))</f>
        <v>0.93925077876486562</v>
      </c>
      <c r="F8" s="22">
        <f>IF('Raw Data (0-4 Scores)'!M8='Analysis Settings'!$F$18,'Analysis Settings'!$B$9,1/(1+EXP(-'Analysis Settings'!$B$8*IF('Raw Data (0-4 Scores)'!M8&gt;'Analysis Settings'!$F$18,('Raw Data (0-4 Scores)'!M8-'Analysis Settings'!$F$18)/('Analysis Settings'!$G$18-'Analysis Settings'!$F$18),('Raw Data (0-4 Scores)'!M8-'Analysis Settings'!$F$18)/('Analysis Settings'!$F$18-'Analysis Settings'!$E$18)))))</f>
        <v>0.41257448944264608</v>
      </c>
      <c r="G8" s="22">
        <f>IF('Raw Data (0-4 Scores)'!N8='Analysis Settings'!$F$19,'Analysis Settings'!$B$9,1/(1+EXP(-'Analysis Settings'!$B$8*IF('Raw Data (0-4 Scores)'!N8&gt;'Analysis Settings'!$F$19,('Raw Data (0-4 Scores)'!N8-'Analysis Settings'!$F$19)/('Analysis Settings'!$G$19-'Analysis Settings'!$F$19),('Raw Data (0-4 Scores)'!N8-'Analysis Settings'!$F$19)/('Analysis Settings'!$F$19-'Analysis Settings'!$E$19)))))</f>
        <v>0.85767447660296903</v>
      </c>
      <c r="H8" s="22">
        <f>IF('Raw Data (0-4 Scores)'!O8='Analysis Settings'!$F$20,'Analysis Settings'!$B$9,1/(1+EXP(-'Analysis Settings'!$B$8*IF('Raw Data (0-4 Scores)'!O8&gt;'Analysis Settings'!$F$20,('Raw Data (0-4 Scores)'!O8-'Analysis Settings'!$F$20)/('Analysis Settings'!$G$20-'Analysis Settings'!$F$20),('Raw Data (0-4 Scores)'!O8-'Analysis Settings'!$F$20)/('Analysis Settings'!$F$20-'Analysis Settings'!$E$20)))))</f>
        <v>0.39134410295349109</v>
      </c>
      <c r="I8" s="22">
        <f>IF('Raw Data (0-4 Scores)'!P8='Analysis Settings'!$F$21,'Analysis Settings'!$B$9,1/(1+EXP(-'Analysis Settings'!$B$8*IF('Raw Data (0-4 Scores)'!P8&gt;'Analysis Settings'!$F$21,('Raw Data (0-4 Scores)'!P8-'Analysis Settings'!$F$21)/('Analysis Settings'!$G$21-'Analysis Settings'!$F$21),('Raw Data (0-4 Scores)'!P8-'Analysis Settings'!$F$21)/('Analysis Settings'!$F$21-'Analysis Settings'!$E$21)))))</f>
        <v>0.95138022090573837</v>
      </c>
      <c r="J8" s="22">
        <f t="shared" si="0"/>
        <v>4.8619779094261628E-2</v>
      </c>
    </row>
    <row r="9" spans="1:10" ht="15" customHeight="1" x14ac:dyDescent="0.3">
      <c r="A9" s="20" t="str">
        <f>'Raw Data (0-4 Scores)'!A9</f>
        <v>Advanced Micro Devices</v>
      </c>
      <c r="B9" s="20">
        <f>'Raw Data (0-4 Scores)'!E9</f>
        <v>2024</v>
      </c>
      <c r="C9" s="22">
        <f>IF('Raw Data (0-4 Scores)'!J9='Analysis Settings'!$F$15,'Analysis Settings'!$B$9,1/(1+EXP(-'Analysis Settings'!$B$8*IF('Raw Data (0-4 Scores)'!J9&gt;'Analysis Settings'!$F$15,('Raw Data (0-4 Scores)'!J9-'Analysis Settings'!$F$15)/('Analysis Settings'!$G$15-'Analysis Settings'!$F$15),('Raw Data (0-4 Scores)'!J9-'Analysis Settings'!$F$15)/('Analysis Settings'!$F$15-'Analysis Settings'!$E$15)))))</f>
        <v>0.99723756906077354</v>
      </c>
      <c r="D9" s="22">
        <f>IF('Raw Data (0-4 Scores)'!K9='Analysis Settings'!$F$16,'Analysis Settings'!$B$9,1/(1+EXP(-'Analysis Settings'!$B$8*IF('Raw Data (0-4 Scores)'!K9&gt;'Analysis Settings'!$F$16,('Raw Data (0-4 Scores)'!K9-'Analysis Settings'!$F$16)/('Analysis Settings'!$G$16-'Analysis Settings'!$F$16),('Raw Data (0-4 Scores)'!K9-'Analysis Settings'!$F$16)/('Analysis Settings'!$F$16-'Analysis Settings'!$E$16)))))</f>
        <v>0.89833727306921118</v>
      </c>
      <c r="E9" s="22">
        <f>IF('Raw Data (0-4 Scores)'!L9='Analysis Settings'!$F$17,'Analysis Settings'!$B$9,1/(1+EXP(-'Analysis Settings'!$B$8*IF('Raw Data (0-4 Scores)'!L9&gt;'Analysis Settings'!$F$17,('Raw Data (0-4 Scores)'!L9-'Analysis Settings'!$F$17)/('Analysis Settings'!$G$17-'Analysis Settings'!$F$17),('Raw Data (0-4 Scores)'!L9-'Analysis Settings'!$F$17)/('Analysis Settings'!$F$17-'Analysis Settings'!$E$17)))))</f>
        <v>0.96535077073938858</v>
      </c>
      <c r="F9" s="22">
        <f>IF('Raw Data (0-4 Scores)'!M9='Analysis Settings'!$F$18,'Analysis Settings'!$B$9,1/(1+EXP(-'Analysis Settings'!$B$8*IF('Raw Data (0-4 Scores)'!M9&gt;'Analysis Settings'!$F$18,('Raw Data (0-4 Scores)'!M9-'Analysis Settings'!$F$18)/('Analysis Settings'!$G$18-'Analysis Settings'!$F$18),('Raw Data (0-4 Scores)'!M9-'Analysis Settings'!$F$18)/('Analysis Settings'!$F$18-'Analysis Settings'!$E$18)))))</f>
        <v>0.52941040032067899</v>
      </c>
      <c r="G9" s="22">
        <f>IF('Raw Data (0-4 Scores)'!N9='Analysis Settings'!$F$19,'Analysis Settings'!$B$9,1/(1+EXP(-'Analysis Settings'!$B$8*IF('Raw Data (0-4 Scores)'!N9&gt;'Analysis Settings'!$F$19,('Raw Data (0-4 Scores)'!N9-'Analysis Settings'!$F$19)/('Analysis Settings'!$G$19-'Analysis Settings'!$F$19),('Raw Data (0-4 Scores)'!N9-'Analysis Settings'!$F$19)/('Analysis Settings'!$F$19-'Analysis Settings'!$E$19)))))</f>
        <v>0.96227157328992696</v>
      </c>
      <c r="H9" s="22">
        <f>IF('Raw Data (0-4 Scores)'!O9='Analysis Settings'!$F$20,'Analysis Settings'!$B$9,1/(1+EXP(-'Analysis Settings'!$B$8*IF('Raw Data (0-4 Scores)'!O9&gt;'Analysis Settings'!$F$20,('Raw Data (0-4 Scores)'!O9-'Analysis Settings'!$F$20)/('Analysis Settings'!$G$20-'Analysis Settings'!$F$20),('Raw Data (0-4 Scores)'!O9-'Analysis Settings'!$F$20)/('Analysis Settings'!$F$20-'Analysis Settings'!$E$20)))))</f>
        <v>0.42691627703872076</v>
      </c>
      <c r="I9" s="22">
        <f>IF('Raw Data (0-4 Scores)'!P9='Analysis Settings'!$F$21,'Analysis Settings'!$B$9,1/(1+EXP(-'Analysis Settings'!$B$8*IF('Raw Data (0-4 Scores)'!P9&gt;'Analysis Settings'!$F$21,('Raw Data (0-4 Scores)'!P9-'Analysis Settings'!$F$21)/('Analysis Settings'!$G$21-'Analysis Settings'!$F$21),('Raw Data (0-4 Scores)'!P9-'Analysis Settings'!$F$21)/('Analysis Settings'!$F$21-'Analysis Settings'!$E$21)))))</f>
        <v>0.97469454955251744</v>
      </c>
      <c r="J9" s="22">
        <f t="shared" si="0"/>
        <v>2.5305450447482558E-2</v>
      </c>
    </row>
    <row r="10" spans="1:10" ht="15" customHeight="1" x14ac:dyDescent="0.3">
      <c r="A10" s="20" t="str">
        <f>'Raw Data (0-4 Scores)'!A10</f>
        <v>Advanced Micro Devices</v>
      </c>
      <c r="B10" s="20">
        <f>'Raw Data (0-4 Scores)'!E10</f>
        <v>2025</v>
      </c>
      <c r="C10" s="22">
        <f>IF('Raw Data (0-4 Scores)'!J10='Analysis Settings'!$F$15,'Analysis Settings'!$B$9,1/(1+EXP(-'Analysis Settings'!$B$8*IF('Raw Data (0-4 Scores)'!J10&gt;'Analysis Settings'!$F$15,('Raw Data (0-4 Scores)'!J10-'Analysis Settings'!$F$15)/('Analysis Settings'!$G$15-'Analysis Settings'!$F$15),('Raw Data (0-4 Scores)'!J10-'Analysis Settings'!$F$15)/('Analysis Settings'!$F$15-'Analysis Settings'!$E$15)))))</f>
        <v>0.99723756906077354</v>
      </c>
      <c r="D10" s="22">
        <f>IF('Raw Data (0-4 Scores)'!K10='Analysis Settings'!$F$16,'Analysis Settings'!$B$9,1/(1+EXP(-'Analysis Settings'!$B$8*IF('Raw Data (0-4 Scores)'!K10&gt;'Analysis Settings'!$F$16,('Raw Data (0-4 Scores)'!K10-'Analysis Settings'!$F$16)/('Analysis Settings'!$G$16-'Analysis Settings'!$F$16),('Raw Data (0-4 Scores)'!K10-'Analysis Settings'!$F$16)/('Analysis Settings'!$F$16-'Analysis Settings'!$E$16)))))</f>
        <v>0.97162128674511761</v>
      </c>
      <c r="E10" s="22">
        <f>IF('Raw Data (0-4 Scores)'!L10='Analysis Settings'!$F$17,'Analysis Settings'!$B$9,1/(1+EXP(-'Analysis Settings'!$B$8*IF('Raw Data (0-4 Scores)'!L10&gt;'Analysis Settings'!$F$17,('Raw Data (0-4 Scores)'!L10-'Analysis Settings'!$F$17)/('Analysis Settings'!$G$17-'Analysis Settings'!$F$17),('Raw Data (0-4 Scores)'!L10-'Analysis Settings'!$F$17)/('Analysis Settings'!$F$17-'Analysis Settings'!$E$17)))))</f>
        <v>0.98102635162008445</v>
      </c>
      <c r="F10" s="22">
        <f>IF('Raw Data (0-4 Scores)'!M10='Analysis Settings'!$F$18,'Analysis Settings'!$B$9,1/(1+EXP(-'Analysis Settings'!$B$8*IF('Raw Data (0-4 Scores)'!M10&gt;'Analysis Settings'!$F$18,('Raw Data (0-4 Scores)'!M10-'Analysis Settings'!$F$18)/('Analysis Settings'!$G$18-'Analysis Settings'!$F$18),('Raw Data (0-4 Scores)'!M10-'Analysis Settings'!$F$18)/('Analysis Settings'!$F$18-'Analysis Settings'!$E$18)))))</f>
        <v>0.8133945031366292</v>
      </c>
      <c r="G10" s="22">
        <f>IF('Raw Data (0-4 Scores)'!N10='Analysis Settings'!$F$19,'Analysis Settings'!$B$9,1/(1+EXP(-'Analysis Settings'!$B$8*IF('Raw Data (0-4 Scores)'!N10&gt;'Analysis Settings'!$F$19,('Raw Data (0-4 Scores)'!N10-'Analysis Settings'!$F$19)/('Analysis Settings'!$G$19-'Analysis Settings'!$F$19),('Raw Data (0-4 Scores)'!N10-'Analysis Settings'!$F$19)/('Analysis Settings'!$F$19-'Analysis Settings'!$E$19)))))</f>
        <v>0.96227157328992696</v>
      </c>
      <c r="H10" s="22">
        <f>IF('Raw Data (0-4 Scores)'!O10='Analysis Settings'!$F$20,'Analysis Settings'!$B$9,1/(1+EXP(-'Analysis Settings'!$B$8*IF('Raw Data (0-4 Scores)'!O10&gt;'Analysis Settings'!$F$20,('Raw Data (0-4 Scores)'!O10-'Analysis Settings'!$F$20)/('Analysis Settings'!$G$20-'Analysis Settings'!$F$20),('Raw Data (0-4 Scores)'!O10-'Analysis Settings'!$F$20)/('Analysis Settings'!$F$20-'Analysis Settings'!$E$20)))))</f>
        <v>0.73702321694075879</v>
      </c>
      <c r="I10" s="22">
        <f>IF('Raw Data (0-4 Scores)'!P10='Analysis Settings'!$F$21,'Analysis Settings'!$B$9,1/(1+EXP(-'Analysis Settings'!$B$8*IF('Raw Data (0-4 Scores)'!P10&gt;'Analysis Settings'!$F$21,('Raw Data (0-4 Scores)'!P10-'Analysis Settings'!$F$21)/('Analysis Settings'!$G$21-'Analysis Settings'!$F$21),('Raw Data (0-4 Scores)'!P10-'Analysis Settings'!$F$21)/('Analysis Settings'!$F$21-'Analysis Settings'!$E$21)))))</f>
        <v>0.9853787154963799</v>
      </c>
      <c r="J10" s="22">
        <f t="shared" si="0"/>
        <v>1.4621284503620102E-2</v>
      </c>
    </row>
    <row r="11" spans="1:10" ht="15" customHeight="1" x14ac:dyDescent="0.3">
      <c r="A11" s="20" t="str">
        <f>'Raw Data (0-4 Scores)'!A11</f>
        <v>Analog Devices</v>
      </c>
      <c r="B11" s="20">
        <f>'Raw Data (0-4 Scores)'!E11</f>
        <v>2023</v>
      </c>
      <c r="C11" s="22">
        <f>IF('Raw Data (0-4 Scores)'!J11='Analysis Settings'!$F$15,'Analysis Settings'!$B$9,1/(1+EXP(-'Analysis Settings'!$B$8*IF('Raw Data (0-4 Scores)'!J11&gt;'Analysis Settings'!$F$15,('Raw Data (0-4 Scores)'!J11-'Analysis Settings'!$F$15)/('Analysis Settings'!$G$15-'Analysis Settings'!$F$15),('Raw Data (0-4 Scores)'!J11-'Analysis Settings'!$F$15)/('Analysis Settings'!$F$15-'Analysis Settings'!$E$15)))))</f>
        <v>1.4621284503620189E-2</v>
      </c>
      <c r="D11" s="22">
        <f>IF('Raw Data (0-4 Scores)'!K11='Analysis Settings'!$F$16,'Analysis Settings'!$B$9,1/(1+EXP(-'Analysis Settings'!$B$8*IF('Raw Data (0-4 Scores)'!K11&gt;'Analysis Settings'!$F$16,('Raw Data (0-4 Scores)'!K11-'Analysis Settings'!$F$16)/('Analysis Settings'!$G$16-'Analysis Settings'!$F$16),('Raw Data (0-4 Scores)'!K11-'Analysis Settings'!$F$16)/('Analysis Settings'!$F$16-'Analysis Settings'!$E$16)))))</f>
        <v>1.8973648379915675E-2</v>
      </c>
      <c r="E11" s="22">
        <f>IF('Raw Data (0-4 Scores)'!L11='Analysis Settings'!$F$17,'Analysis Settings'!$B$9,1/(1+EXP(-'Analysis Settings'!$B$8*IF('Raw Data (0-4 Scores)'!L11&gt;'Analysis Settings'!$F$17,('Raw Data (0-4 Scores)'!L11-'Analysis Settings'!$F$17)/('Analysis Settings'!$G$17-'Analysis Settings'!$F$17),('Raw Data (0-4 Scores)'!L11-'Analysis Settings'!$F$17)/('Analysis Settings'!$F$17-'Analysis Settings'!$E$17)))))</f>
        <v>0.92225078567327123</v>
      </c>
      <c r="F11" s="22">
        <f>IF('Raw Data (0-4 Scores)'!M11='Analysis Settings'!$F$18,'Analysis Settings'!$B$9,1/(1+EXP(-'Analysis Settings'!$B$8*IF('Raw Data (0-4 Scores)'!M11&gt;'Analysis Settings'!$F$18,('Raw Data (0-4 Scores)'!M11-'Analysis Settings'!$F$18)/('Analysis Settings'!$G$18-'Analysis Settings'!$F$18),('Raw Data (0-4 Scores)'!M11-'Analysis Settings'!$F$18)/('Analysis Settings'!$F$18-'Analysis Settings'!$E$18)))))</f>
        <v>0.24621782685544383</v>
      </c>
      <c r="G11" s="22">
        <f>IF('Raw Data (0-4 Scores)'!N11='Analysis Settings'!$F$19,'Analysis Settings'!$B$9,1/(1+EXP(-'Analysis Settings'!$B$8*IF('Raw Data (0-4 Scores)'!N11&gt;'Analysis Settings'!$F$19,('Raw Data (0-4 Scores)'!N11-'Analysis Settings'!$F$19)/('Analysis Settings'!$G$19-'Analysis Settings'!$F$19),('Raw Data (0-4 Scores)'!N11-'Analysis Settings'!$F$19)/('Analysis Settings'!$F$19-'Analysis Settings'!$E$19)))))</f>
        <v>0.27454878407708211</v>
      </c>
      <c r="H11" s="22">
        <f>IF('Raw Data (0-4 Scores)'!O11='Analysis Settings'!$F$20,'Analysis Settings'!$B$9,1/(1+EXP(-'Analysis Settings'!$B$8*IF('Raw Data (0-4 Scores)'!O11&gt;'Analysis Settings'!$F$20,('Raw Data (0-4 Scores)'!O11-'Analysis Settings'!$F$20)/('Analysis Settings'!$G$20-'Analysis Settings'!$F$20),('Raw Data (0-4 Scores)'!O11-'Analysis Settings'!$F$20)/('Analysis Settings'!$F$20-'Analysis Settings'!$E$20)))))</f>
        <v>0.44865396125713797</v>
      </c>
      <c r="I11" s="22">
        <f>IF('Raw Data (0-4 Scores)'!P11='Analysis Settings'!$F$21,'Analysis Settings'!$B$9,1/(1+EXP(-'Analysis Settings'!$B$8*IF('Raw Data (0-4 Scores)'!P11&gt;'Analysis Settings'!$F$21,('Raw Data (0-4 Scores)'!P11-'Analysis Settings'!$F$21)/('Analysis Settings'!$G$21-'Analysis Settings'!$F$21),('Raw Data (0-4 Scores)'!P11-'Analysis Settings'!$F$21)/('Analysis Settings'!$F$21-'Analysis Settings'!$E$21)))))</f>
        <v>0.90612541326858032</v>
      </c>
      <c r="J11" s="22">
        <f t="shared" si="0"/>
        <v>9.3874586731419685E-2</v>
      </c>
    </row>
    <row r="12" spans="1:10" ht="15" customHeight="1" x14ac:dyDescent="0.3">
      <c r="A12" s="20" t="str">
        <f>'Raw Data (0-4 Scores)'!A12</f>
        <v>Analog Devices</v>
      </c>
      <c r="B12" s="20">
        <f>'Raw Data (0-4 Scores)'!E12</f>
        <v>2024</v>
      </c>
      <c r="C12" s="22">
        <f>IF('Raw Data (0-4 Scores)'!J12='Analysis Settings'!$F$15,'Analysis Settings'!$B$9,1/(1+EXP(-'Analysis Settings'!$B$8*IF('Raw Data (0-4 Scores)'!J12&gt;'Analysis Settings'!$F$15,('Raw Data (0-4 Scores)'!J12-'Analysis Settings'!$F$15)/('Analysis Settings'!$G$15-'Analysis Settings'!$F$15),('Raw Data (0-4 Scores)'!J12-'Analysis Settings'!$F$15)/('Analysis Settings'!$F$15-'Analysis Settings'!$E$15)))))</f>
        <v>5.9090730917347546E-2</v>
      </c>
      <c r="D12" s="22">
        <f>IF('Raw Data (0-4 Scores)'!K12='Analysis Settings'!$F$16,'Analysis Settings'!$B$9,1/(1+EXP(-'Analysis Settings'!$B$8*IF('Raw Data (0-4 Scores)'!K12&gt;'Analysis Settings'!$F$16,('Raw Data (0-4 Scores)'!K12-'Analysis Settings'!$F$16)/('Analysis Settings'!$G$16-'Analysis Settings'!$F$16),('Raw Data (0-4 Scores)'!K12-'Analysis Settings'!$F$16)/('Analysis Settings'!$F$16-'Analysis Settings'!$E$16)))))</f>
        <v>3.6673878325323338E-2</v>
      </c>
      <c r="E12" s="22">
        <f>IF('Raw Data (0-4 Scores)'!L12='Analysis Settings'!$F$17,'Analysis Settings'!$B$9,1/(1+EXP(-'Analysis Settings'!$B$8*IF('Raw Data (0-4 Scores)'!L12&gt;'Analysis Settings'!$F$17,('Raw Data (0-4 Scores)'!L12-'Analysis Settings'!$F$17)/('Analysis Settings'!$G$17-'Analysis Settings'!$F$17),('Raw Data (0-4 Scores)'!L12-'Analysis Settings'!$F$17)/('Analysis Settings'!$F$17-'Analysis Settings'!$E$17)))))</f>
        <v>0.92835307627002983</v>
      </c>
      <c r="F12" s="22">
        <f>IF('Raw Data (0-4 Scores)'!M12='Analysis Settings'!$F$18,'Analysis Settings'!$B$9,1/(1+EXP(-'Analysis Settings'!$B$8*IF('Raw Data (0-4 Scores)'!M12&gt;'Analysis Settings'!$F$18,('Raw Data (0-4 Scores)'!M12-'Analysis Settings'!$F$18)/('Analysis Settings'!$G$18-'Analysis Settings'!$F$18),('Raw Data (0-4 Scores)'!M12-'Analysis Settings'!$F$18)/('Analysis Settings'!$F$18-'Analysis Settings'!$E$18)))))</f>
        <v>0.4852820582066058</v>
      </c>
      <c r="G12" s="22">
        <f>IF('Raw Data (0-4 Scores)'!N12='Analysis Settings'!$F$19,'Analysis Settings'!$B$9,1/(1+EXP(-'Analysis Settings'!$B$8*IF('Raw Data (0-4 Scores)'!N12&gt;'Analysis Settings'!$F$19,('Raw Data (0-4 Scores)'!N12-'Analysis Settings'!$F$19)/('Analysis Settings'!$G$19-'Analysis Settings'!$F$19),('Raw Data (0-4 Scores)'!N12-'Analysis Settings'!$F$19)/('Analysis Settings'!$F$19-'Analysis Settings'!$E$19)))))</f>
        <v>0.5586179890472327</v>
      </c>
      <c r="H12" s="22">
        <f>IF('Raw Data (0-4 Scores)'!O12='Analysis Settings'!$F$20,'Analysis Settings'!$B$9,1/(1+EXP(-'Analysis Settings'!$B$8*IF('Raw Data (0-4 Scores)'!O12&gt;'Analysis Settings'!$F$20,('Raw Data (0-4 Scores)'!O12-'Analysis Settings'!$F$20)/('Analysis Settings'!$G$20-'Analysis Settings'!$F$20),('Raw Data (0-4 Scores)'!O12-'Analysis Settings'!$F$20)/('Analysis Settings'!$F$20-'Analysis Settings'!$E$20)))))</f>
        <v>0.47058959967932096</v>
      </c>
      <c r="I12" s="22">
        <f>IF('Raw Data (0-4 Scores)'!P12='Analysis Settings'!$F$21,'Analysis Settings'!$B$9,1/(1+EXP(-'Analysis Settings'!$B$8*IF('Raw Data (0-4 Scores)'!P12&gt;'Analysis Settings'!$F$21,('Raw Data (0-4 Scores)'!P12-'Analysis Settings'!$F$21)/('Analysis Settings'!$G$21-'Analysis Settings'!$F$21),('Raw Data (0-4 Scores)'!P12-'Analysis Settings'!$F$21)/('Analysis Settings'!$F$21-'Analysis Settings'!$E$21)))))</f>
        <v>0.93028699837745943</v>
      </c>
      <c r="J12" s="22">
        <f t="shared" si="0"/>
        <v>6.9713001622540571E-2</v>
      </c>
    </row>
    <row r="13" spans="1:10" ht="15" customHeight="1" x14ac:dyDescent="0.3">
      <c r="A13" s="20" t="str">
        <f>'Raw Data (0-4 Scores)'!A13</f>
        <v>Analog Devices</v>
      </c>
      <c r="B13" s="20">
        <f>'Raw Data (0-4 Scores)'!E13</f>
        <v>2025</v>
      </c>
      <c r="C13" s="22">
        <f>IF('Raw Data (0-4 Scores)'!J13='Analysis Settings'!$F$15,'Analysis Settings'!$B$9,1/(1+EXP(-'Analysis Settings'!$B$8*IF('Raw Data (0-4 Scores)'!J13&gt;'Analysis Settings'!$F$15,('Raw Data (0-4 Scores)'!J13-'Analysis Settings'!$F$15)/('Analysis Settings'!$G$15-'Analysis Settings'!$F$15),('Raw Data (0-4 Scores)'!J13-'Analysis Settings'!$F$15)/('Analysis Settings'!$F$15-'Analysis Settings'!$E$15)))))</f>
        <v>0.12528250695786336</v>
      </c>
      <c r="D13" s="22">
        <f>IF('Raw Data (0-4 Scores)'!K13='Analysis Settings'!$F$16,'Analysis Settings'!$B$9,1/(1+EXP(-'Analysis Settings'!$B$8*IF('Raw Data (0-4 Scores)'!K13&gt;'Analysis Settings'!$F$16,('Raw Data (0-4 Scores)'!K13-'Analysis Settings'!$F$16)/('Analysis Settings'!$G$16-'Analysis Settings'!$F$16),('Raw Data (0-4 Scores)'!K13-'Analysis Settings'!$F$16)/('Analysis Settings'!$F$16-'Analysis Settings'!$E$16)))))</f>
        <v>0.11591839745337428</v>
      </c>
      <c r="E13" s="22">
        <f>IF('Raw Data (0-4 Scores)'!L13='Analysis Settings'!$F$17,'Analysis Settings'!$B$9,1/(1+EXP(-'Analysis Settings'!$B$8*IF('Raw Data (0-4 Scores)'!L13&gt;'Analysis Settings'!$F$17,('Raw Data (0-4 Scores)'!L13-'Analysis Settings'!$F$17)/('Analysis Settings'!$G$17-'Analysis Settings'!$F$17),('Raw Data (0-4 Scores)'!L13-'Analysis Settings'!$F$17)/('Analysis Settings'!$F$17-'Analysis Settings'!$E$17)))))</f>
        <v>0.95403289625145604</v>
      </c>
      <c r="F13" s="22">
        <f>IF('Raw Data (0-4 Scores)'!M13='Analysis Settings'!$F$18,'Analysis Settings'!$B$9,1/(1+EXP(-'Analysis Settings'!$B$8*IF('Raw Data (0-4 Scores)'!M13&gt;'Analysis Settings'!$F$18,('Raw Data (0-4 Scores)'!M13-'Analysis Settings'!$F$18)/('Analysis Settings'!$G$18-'Analysis Settings'!$F$18),('Raw Data (0-4 Scores)'!M13-'Analysis Settings'!$F$18)/('Analysis Settings'!$F$18-'Analysis Settings'!$E$18)))))</f>
        <v>0.84654741782144594</v>
      </c>
      <c r="G13" s="22">
        <f>IF('Raw Data (0-4 Scores)'!N13='Analysis Settings'!$F$19,'Analysis Settings'!$B$9,1/(1+EXP(-'Analysis Settings'!$B$8*IF('Raw Data (0-4 Scores)'!N13&gt;'Analysis Settings'!$F$19,('Raw Data (0-4 Scores)'!N13-'Analysis Settings'!$F$19)/('Analysis Settings'!$G$19-'Analysis Settings'!$F$19),('Raw Data (0-4 Scores)'!N13-'Analysis Settings'!$F$19)/('Analysis Settings'!$F$19-'Analysis Settings'!$E$19)))))</f>
        <v>0.71356789924026609</v>
      </c>
      <c r="H13" s="22">
        <f>IF('Raw Data (0-4 Scores)'!O13='Analysis Settings'!$F$20,'Analysis Settings'!$B$9,1/(1+EXP(-'Analysis Settings'!$B$8*IF('Raw Data (0-4 Scores)'!O13&gt;'Analysis Settings'!$F$20,('Raw Data (0-4 Scores)'!O13-'Analysis Settings'!$F$20)/('Analysis Settings'!$G$20-'Analysis Settings'!$F$20),('Raw Data (0-4 Scores)'!O13-'Analysis Settings'!$F$20)/('Analysis Settings'!$F$20-'Analysis Settings'!$E$20)))))</f>
        <v>0.78007590432768892</v>
      </c>
      <c r="I13" s="22">
        <f>IF('Raw Data (0-4 Scores)'!P13='Analysis Settings'!$F$21,'Analysis Settings'!$B$9,1/(1+EXP(-'Analysis Settings'!$B$8*IF('Raw Data (0-4 Scores)'!P13&gt;'Analysis Settings'!$F$21,('Raw Data (0-4 Scores)'!P13-'Analysis Settings'!$F$21)/('Analysis Settings'!$G$21-'Analysis Settings'!$F$21),('Raw Data (0-4 Scores)'!P13-'Analysis Settings'!$F$21)/('Analysis Settings'!$F$21-'Analysis Settings'!$E$21)))))</f>
        <v>0.97320072587687156</v>
      </c>
      <c r="J13" s="22">
        <f t="shared" si="0"/>
        <v>2.6799274123128436E-2</v>
      </c>
    </row>
    <row r="14" spans="1:10" ht="15" customHeight="1" x14ac:dyDescent="0.3">
      <c r="A14" s="20" t="str">
        <f>'Raw Data (0-4 Scores)'!A14</f>
        <v>Applied Materials</v>
      </c>
      <c r="B14" s="20">
        <f>'Raw Data (0-4 Scores)'!E14</f>
        <v>2023</v>
      </c>
      <c r="C14" s="22">
        <f>IF('Raw Data (0-4 Scores)'!J14='Analysis Settings'!$F$15,'Analysis Settings'!$B$9,1/(1+EXP(-'Analysis Settings'!$B$8*IF('Raw Data (0-4 Scores)'!J14&gt;'Analysis Settings'!$F$15,('Raw Data (0-4 Scores)'!J14-'Analysis Settings'!$F$15)/('Analysis Settings'!$G$15-'Analysis Settings'!$F$15),('Raw Data (0-4 Scores)'!J14-'Analysis Settings'!$F$15)/('Analysis Settings'!$F$15-'Analysis Settings'!$E$15)))))</f>
        <v>0.23545238646229974</v>
      </c>
      <c r="D14" s="22">
        <f>IF('Raw Data (0-4 Scores)'!K14='Analysis Settings'!$F$16,'Analysis Settings'!$B$9,1/(1+EXP(-'Analysis Settings'!$B$8*IF('Raw Data (0-4 Scores)'!K14&gt;'Analysis Settings'!$F$16,('Raw Data (0-4 Scores)'!K14-'Analysis Settings'!$F$16)/('Analysis Settings'!$G$16-'Analysis Settings'!$F$16),('Raw Data (0-4 Scores)'!K14-'Analysis Settings'!$F$16)/('Analysis Settings'!$F$16-'Analysis Settings'!$E$16)))))</f>
        <v>2.3215690301146001E-2</v>
      </c>
      <c r="E14" s="22">
        <f>IF('Raw Data (0-4 Scores)'!L14='Analysis Settings'!$F$17,'Analysis Settings'!$B$9,1/(1+EXP(-'Analysis Settings'!$B$8*IF('Raw Data (0-4 Scores)'!L14&gt;'Analysis Settings'!$F$17,('Raw Data (0-4 Scores)'!L14-'Analysis Settings'!$F$17)/('Analysis Settings'!$G$17-'Analysis Settings'!$F$17),('Raw Data (0-4 Scores)'!L14-'Analysis Settings'!$F$17)/('Analysis Settings'!$F$17-'Analysis Settings'!$E$17)))))</f>
        <v>0.93925077876486562</v>
      </c>
      <c r="F14" s="22">
        <f>IF('Raw Data (0-4 Scores)'!M14='Analysis Settings'!$F$18,'Analysis Settings'!$B$9,1/(1+EXP(-'Analysis Settings'!$B$8*IF('Raw Data (0-4 Scores)'!M14&gt;'Analysis Settings'!$F$18,('Raw Data (0-4 Scores)'!M14-'Analysis Settings'!$F$18)/('Analysis Settings'!$G$18-'Analysis Settings'!$F$18),('Raw Data (0-4 Scores)'!M14-'Analysis Settings'!$F$18)/('Analysis Settings'!$F$18-'Analysis Settings'!$E$18)))))</f>
        <v>0.60162042277573946</v>
      </c>
      <c r="G14" s="22">
        <f>IF('Raw Data (0-4 Scores)'!N14='Analysis Settings'!$F$19,'Analysis Settings'!$B$9,1/(1+EXP(-'Analysis Settings'!$B$8*IF('Raw Data (0-4 Scores)'!N14&gt;'Analysis Settings'!$F$19,('Raw Data (0-4 Scores)'!N14-'Analysis Settings'!$F$19)/('Analysis Settings'!$G$19-'Analysis Settings'!$F$19),('Raw Data (0-4 Scores)'!N14-'Analysis Settings'!$F$19)/('Analysis Settings'!$F$19-'Analysis Settings'!$E$19)))))</f>
        <v>0.98404994806780588</v>
      </c>
      <c r="H14" s="22">
        <f>IF('Raw Data (0-4 Scores)'!O14='Analysis Settings'!$F$20,'Analysis Settings'!$B$9,1/(1+EXP(-'Analysis Settings'!$B$8*IF('Raw Data (0-4 Scores)'!O14&gt;'Analysis Settings'!$F$20,('Raw Data (0-4 Scores)'!O14-'Analysis Settings'!$F$20)/('Analysis Settings'!$G$20-'Analysis Settings'!$F$20),('Raw Data (0-4 Scores)'!O14-'Analysis Settings'!$F$20)/('Analysis Settings'!$F$20-'Analysis Settings'!$E$20)))))</f>
        <v>0.39837957722426065</v>
      </c>
      <c r="I14" s="22">
        <f>IF('Raw Data (0-4 Scores)'!P14='Analysis Settings'!$F$21,'Analysis Settings'!$B$9,1/(1+EXP(-'Analysis Settings'!$B$8*IF('Raw Data (0-4 Scores)'!P14&gt;'Analysis Settings'!$F$21,('Raw Data (0-4 Scores)'!P14-'Analysis Settings'!$F$21)/('Analysis Settings'!$G$21-'Analysis Settings'!$F$21),('Raw Data (0-4 Scores)'!P14-'Analysis Settings'!$F$21)/('Analysis Settings'!$F$21-'Analysis Settings'!$E$21)))))</f>
        <v>0.9340106873436208</v>
      </c>
      <c r="J14" s="22">
        <f t="shared" si="0"/>
        <v>6.5989312656379195E-2</v>
      </c>
    </row>
    <row r="15" spans="1:10" ht="15" customHeight="1" x14ac:dyDescent="0.3">
      <c r="A15" s="20" t="str">
        <f>'Raw Data (0-4 Scores)'!A15</f>
        <v>Applied Materials</v>
      </c>
      <c r="B15" s="20">
        <f>'Raw Data (0-4 Scores)'!E15</f>
        <v>2024</v>
      </c>
      <c r="C15" s="22">
        <f>IF('Raw Data (0-4 Scores)'!J15='Analysis Settings'!$F$15,'Analysis Settings'!$B$9,1/(1+EXP(-'Analysis Settings'!$B$8*IF('Raw Data (0-4 Scores)'!J15&gt;'Analysis Settings'!$F$15,('Raw Data (0-4 Scores)'!J15-'Analysis Settings'!$F$15)/('Analysis Settings'!$G$15-'Analysis Settings'!$F$15),('Raw Data (0-4 Scores)'!J15-'Analysis Settings'!$F$15)/('Analysis Settings'!$F$15-'Analysis Settings'!$E$15)))))</f>
        <v>0.51471794179339414</v>
      </c>
      <c r="D15" s="22">
        <f>IF('Raw Data (0-4 Scores)'!K15='Analysis Settings'!$F$16,'Analysis Settings'!$B$9,1/(1+EXP(-'Analysis Settings'!$B$8*IF('Raw Data (0-4 Scores)'!K15&gt;'Analysis Settings'!$F$16,('Raw Data (0-4 Scores)'!K15-'Analysis Settings'!$F$16)/('Analysis Settings'!$G$16-'Analysis Settings'!$F$16),('Raw Data (0-4 Scores)'!K15-'Analysis Settings'!$F$16)/('Analysis Settings'!$F$16-'Analysis Settings'!$E$16)))))</f>
        <v>5.000000000000001E-2</v>
      </c>
      <c r="E15" s="22">
        <f>IF('Raw Data (0-4 Scores)'!L15='Analysis Settings'!$F$17,'Analysis Settings'!$B$9,1/(1+EXP(-'Analysis Settings'!$B$8*IF('Raw Data (0-4 Scores)'!L15&gt;'Analysis Settings'!$F$17,('Raw Data (0-4 Scores)'!L15-'Analysis Settings'!$F$17)/('Analysis Settings'!$G$17-'Analysis Settings'!$F$17),('Raw Data (0-4 Scores)'!L15-'Analysis Settings'!$F$17)/('Analysis Settings'!$F$17-'Analysis Settings'!$E$17)))))</f>
        <v>0.93217253322527993</v>
      </c>
      <c r="F15" s="22">
        <f>IF('Raw Data (0-4 Scores)'!M15='Analysis Settings'!$F$18,'Analysis Settings'!$B$9,1/(1+EXP(-'Analysis Settings'!$B$8*IF('Raw Data (0-4 Scores)'!M15&gt;'Analysis Settings'!$F$18,('Raw Data (0-4 Scores)'!M15-'Analysis Settings'!$F$18)/('Analysis Settings'!$G$18-'Analysis Settings'!$F$18),('Raw Data (0-4 Scores)'!M15-'Analysis Settings'!$F$18)/('Analysis Settings'!$F$18-'Analysis Settings'!$E$18)))))</f>
        <v>0.47058959967932096</v>
      </c>
      <c r="G15" s="22">
        <f>IF('Raw Data (0-4 Scores)'!N15='Analysis Settings'!$F$19,'Analysis Settings'!$B$9,1/(1+EXP(-'Analysis Settings'!$B$8*IF('Raw Data (0-4 Scores)'!N15&gt;'Analysis Settings'!$F$19,('Raw Data (0-4 Scores)'!N15-'Analysis Settings'!$F$19)/('Analysis Settings'!$G$19-'Analysis Settings'!$F$19),('Raw Data (0-4 Scores)'!N15-'Analysis Settings'!$F$19)/('Analysis Settings'!$F$19-'Analysis Settings'!$E$19)))))</f>
        <v>0.9968008186149685</v>
      </c>
      <c r="H15" s="22">
        <f>IF('Raw Data (0-4 Scores)'!O15='Analysis Settings'!$F$20,'Analysis Settings'!$B$9,1/(1+EXP(-'Analysis Settings'!$B$8*IF('Raw Data (0-4 Scores)'!O15&gt;'Analysis Settings'!$F$20,('Raw Data (0-4 Scores)'!O15-'Analysis Settings'!$F$20)/('Analysis Settings'!$G$20-'Analysis Settings'!$F$20),('Raw Data (0-4 Scores)'!O15-'Analysis Settings'!$F$20)/('Analysis Settings'!$F$20-'Analysis Settings'!$E$20)))))</f>
        <v>0.39134410295349109</v>
      </c>
      <c r="I15" s="22">
        <f>IF('Raw Data (0-4 Scores)'!P15='Analysis Settings'!$F$21,'Analysis Settings'!$B$9,1/(1+EXP(-'Analysis Settings'!$B$8*IF('Raw Data (0-4 Scores)'!P15&gt;'Analysis Settings'!$F$21,('Raw Data (0-4 Scores)'!P15-'Analysis Settings'!$F$21)/('Analysis Settings'!$G$21-'Analysis Settings'!$F$21),('Raw Data (0-4 Scores)'!P15-'Analysis Settings'!$F$21)/('Analysis Settings'!$F$21-'Analysis Settings'!$E$21)))))</f>
        <v>0.95403289625145604</v>
      </c>
      <c r="J15" s="22">
        <f t="shared" si="0"/>
        <v>4.5967103748543958E-2</v>
      </c>
    </row>
    <row r="16" spans="1:10" ht="15" customHeight="1" x14ac:dyDescent="0.3">
      <c r="A16" s="20" t="str">
        <f>'Raw Data (0-4 Scores)'!A16</f>
        <v>Applied Materials</v>
      </c>
      <c r="B16" s="20">
        <f>'Raw Data (0-4 Scores)'!E16</f>
        <v>2025</v>
      </c>
      <c r="C16" s="22">
        <f>IF('Raw Data (0-4 Scores)'!J16='Analysis Settings'!$F$15,'Analysis Settings'!$B$9,1/(1+EXP(-'Analysis Settings'!$B$8*IF('Raw Data (0-4 Scores)'!J16&gt;'Analysis Settings'!$F$15,('Raw Data (0-4 Scores)'!J16-'Analysis Settings'!$F$15)/('Analysis Settings'!$G$15-'Analysis Settings'!$F$15),('Raw Data (0-4 Scores)'!J16-'Analysis Settings'!$F$15)/('Analysis Settings'!$F$15-'Analysis Settings'!$E$15)))))</f>
        <v>0.60865589704650891</v>
      </c>
      <c r="D16" s="22">
        <f>IF('Raw Data (0-4 Scores)'!K16='Analysis Settings'!$F$16,'Analysis Settings'!$B$9,1/(1+EXP(-'Analysis Settings'!$B$8*IF('Raw Data (0-4 Scores)'!K16&gt;'Analysis Settings'!$F$16,('Raw Data (0-4 Scores)'!K16-'Analysis Settings'!$F$16)/('Analysis Settings'!$G$16-'Analysis Settings'!$F$16),('Raw Data (0-4 Scores)'!K16-'Analysis Settings'!$F$16)/('Analysis Settings'!$F$16-'Analysis Settings'!$E$16)))))</f>
        <v>0.14595776020489165</v>
      </c>
      <c r="E16" s="22">
        <f>IF('Raw Data (0-4 Scores)'!L16='Analysis Settings'!$F$17,'Analysis Settings'!$B$9,1/(1+EXP(-'Analysis Settings'!$B$8*IF('Raw Data (0-4 Scores)'!L16&gt;'Analysis Settings'!$F$17,('Raw Data (0-4 Scores)'!L16-'Analysis Settings'!$F$17)/('Analysis Settings'!$G$17-'Analysis Settings'!$F$17),('Raw Data (0-4 Scores)'!L16-'Analysis Settings'!$F$17)/('Analysis Settings'!$F$17-'Analysis Settings'!$E$17)))))</f>
        <v>0.97744272118270281</v>
      </c>
      <c r="F16" s="22">
        <f>IF('Raw Data (0-4 Scores)'!M16='Analysis Settings'!$F$18,'Analysis Settings'!$B$9,1/(1+EXP(-'Analysis Settings'!$B$8*IF('Raw Data (0-4 Scores)'!M16&gt;'Analysis Settings'!$F$18,('Raw Data (0-4 Scores)'!M16-'Analysis Settings'!$F$18)/('Analysis Settings'!$G$18-'Analysis Settings'!$F$18),('Raw Data (0-4 Scores)'!M16-'Analysis Settings'!$F$18)/('Analysis Settings'!$F$18-'Analysis Settings'!$E$18)))))</f>
        <v>0.88102981015182613</v>
      </c>
      <c r="G16" s="22">
        <f>IF('Raw Data (0-4 Scores)'!N16='Analysis Settings'!$F$19,'Analysis Settings'!$B$9,1/(1+EXP(-'Analysis Settings'!$B$8*IF('Raw Data (0-4 Scores)'!N16&gt;'Analysis Settings'!$F$19,('Raw Data (0-4 Scores)'!N16-'Analysis Settings'!$F$19)/('Analysis Settings'!$G$19-'Analysis Settings'!$F$19),('Raw Data (0-4 Scores)'!N16-'Analysis Settings'!$F$19)/('Analysis Settings'!$F$19-'Analysis Settings'!$E$19)))))</f>
        <v>0.99618498993660631</v>
      </c>
      <c r="H16" s="22">
        <f>IF('Raw Data (0-4 Scores)'!O16='Analysis Settings'!$F$20,'Analysis Settings'!$B$9,1/(1+EXP(-'Analysis Settings'!$B$8*IF('Raw Data (0-4 Scores)'!O16&gt;'Analysis Settings'!$F$20,('Raw Data (0-4 Scores)'!O16-'Analysis Settings'!$F$20)/('Analysis Settings'!$G$20-'Analysis Settings'!$F$20),('Raw Data (0-4 Scores)'!O16-'Analysis Settings'!$F$20)/('Analysis Settings'!$F$20-'Analysis Settings'!$E$20)))))</f>
        <v>0.70751215384548949</v>
      </c>
      <c r="I16" s="22">
        <f>IF('Raw Data (0-4 Scores)'!P16='Analysis Settings'!$F$21,'Analysis Settings'!$B$9,1/(1+EXP(-'Analysis Settings'!$B$8*IF('Raw Data (0-4 Scores)'!P16&gt;'Analysis Settings'!$F$21,('Raw Data (0-4 Scores)'!P16-'Analysis Settings'!$F$21)/('Analysis Settings'!$G$21-'Analysis Settings'!$F$21),('Raw Data (0-4 Scores)'!P16-'Analysis Settings'!$F$21)/('Analysis Settings'!$F$21-'Analysis Settings'!$E$21)))))</f>
        <v>0.98156672650334342</v>
      </c>
      <c r="J16" s="22">
        <f t="shared" si="0"/>
        <v>1.8433273496656577E-2</v>
      </c>
    </row>
    <row r="17" spans="1:10" ht="15" customHeight="1" x14ac:dyDescent="0.3">
      <c r="A17" s="20" t="str">
        <f>'Raw Data (0-4 Scores)'!A17</f>
        <v>Broadcom Inc.</v>
      </c>
      <c r="B17" s="20">
        <f>'Raw Data (0-4 Scores)'!E17</f>
        <v>2023</v>
      </c>
      <c r="C17" s="22">
        <f>IF('Raw Data (0-4 Scores)'!J17='Analysis Settings'!$F$15,'Analysis Settings'!$B$9,1/(1+EXP(-'Analysis Settings'!$B$8*IF('Raw Data (0-4 Scores)'!J17&gt;'Analysis Settings'!$F$15,('Raw Data (0-4 Scores)'!J17-'Analysis Settings'!$F$15)/('Analysis Settings'!$G$15-'Analysis Settings'!$F$15),('Raw Data (0-4 Scores)'!J17-'Analysis Settings'!$F$15)/('Analysis Settings'!$F$15-'Analysis Settings'!$E$15)))))</f>
        <v>0.9035906827323803</v>
      </c>
      <c r="D17" s="22">
        <f>IF('Raw Data (0-4 Scores)'!K17='Analysis Settings'!$F$16,'Analysis Settings'!$B$9,1/(1+EXP(-'Analysis Settings'!$B$8*IF('Raw Data (0-4 Scores)'!K17&gt;'Analysis Settings'!$F$16,('Raw Data (0-4 Scores)'!K17-'Analysis Settings'!$F$16)/('Analysis Settings'!$G$16-'Analysis Settings'!$F$16),('Raw Data (0-4 Scores)'!K17-'Analysis Settings'!$F$16)/('Analysis Settings'!$F$16-'Analysis Settings'!$E$16)))))</f>
        <v>4.4174399508404667E-3</v>
      </c>
      <c r="E17" s="22">
        <f>IF('Raw Data (0-4 Scores)'!L17='Analysis Settings'!$F$17,'Analysis Settings'!$B$9,1/(1+EXP(-'Analysis Settings'!$B$8*IF('Raw Data (0-4 Scores)'!L17&gt;'Analysis Settings'!$F$17,('Raw Data (0-4 Scores)'!L17-'Analysis Settings'!$F$17)/('Analysis Settings'!$G$17-'Analysis Settings'!$F$17),('Raw Data (0-4 Scores)'!L17-'Analysis Settings'!$F$17)/('Analysis Settings'!$F$17-'Analysis Settings'!$E$17)))))</f>
        <v>0.92636975107831832</v>
      </c>
      <c r="F17" s="22">
        <f>IF('Raw Data (0-4 Scores)'!M17='Analysis Settings'!$F$18,'Analysis Settings'!$B$9,1/(1+EXP(-'Analysis Settings'!$B$8*IF('Raw Data (0-4 Scores)'!M17&gt;'Analysis Settings'!$F$18,('Raw Data (0-4 Scores)'!M17-'Analysis Settings'!$F$18)/('Analysis Settings'!$G$18-'Analysis Settings'!$F$18),('Raw Data (0-4 Scores)'!M17-'Analysis Settings'!$F$18)/('Analysis Settings'!$F$18-'Analysis Settings'!$E$18)))))</f>
        <v>0.35016086473629304</v>
      </c>
      <c r="G17" s="22">
        <f>IF('Raw Data (0-4 Scores)'!N17='Analysis Settings'!$F$19,'Analysis Settings'!$B$9,1/(1+EXP(-'Analysis Settings'!$B$8*IF('Raw Data (0-4 Scores)'!N17&gt;'Analysis Settings'!$F$19,('Raw Data (0-4 Scores)'!N17-'Analysis Settings'!$F$19)/('Analysis Settings'!$G$19-'Analysis Settings'!$F$19),('Raw Data (0-4 Scores)'!N17-'Analysis Settings'!$F$19)/('Analysis Settings'!$F$19-'Analysis Settings'!$E$19)))))</f>
        <v>0.54405206850190257</v>
      </c>
      <c r="H17" s="22">
        <f>IF('Raw Data (0-4 Scores)'!O17='Analysis Settings'!$F$20,'Analysis Settings'!$B$9,1/(1+EXP(-'Analysis Settings'!$B$8*IF('Raw Data (0-4 Scores)'!O17&gt;'Analysis Settings'!$F$20,('Raw Data (0-4 Scores)'!O17-'Analysis Settings'!$F$20)/('Analysis Settings'!$G$20-'Analysis Settings'!$F$20),('Raw Data (0-4 Scores)'!O17-'Analysis Settings'!$F$20)/('Analysis Settings'!$F$20-'Analysis Settings'!$E$20)))))</f>
        <v>2.1294735167232112E-2</v>
      </c>
      <c r="I17" s="22">
        <f>IF('Raw Data (0-4 Scores)'!P17='Analysis Settings'!$F$21,'Analysis Settings'!$B$9,1/(1+EXP(-'Analysis Settings'!$B$8*IF('Raw Data (0-4 Scores)'!P17&gt;'Analysis Settings'!$F$21,('Raw Data (0-4 Scores)'!P17-'Analysis Settings'!$F$21)/('Analysis Settings'!$G$21-'Analysis Settings'!$F$21),('Raw Data (0-4 Scores)'!P17-'Analysis Settings'!$F$21)/('Analysis Settings'!$F$21-'Analysis Settings'!$E$21)))))</f>
        <v>0.28045203560519738</v>
      </c>
      <c r="J17" s="22">
        <f t="shared" si="0"/>
        <v>0.28045203560519738</v>
      </c>
    </row>
    <row r="18" spans="1:10" ht="15" customHeight="1" x14ac:dyDescent="0.3">
      <c r="A18" s="20" t="str">
        <f>'Raw Data (0-4 Scores)'!A18</f>
        <v>Broadcom Inc.</v>
      </c>
      <c r="B18" s="20">
        <f>'Raw Data (0-4 Scores)'!E18</f>
        <v>2024</v>
      </c>
      <c r="C18" s="22">
        <f>IF('Raw Data (0-4 Scores)'!J18='Analysis Settings'!$F$15,'Analysis Settings'!$B$9,1/(1+EXP(-'Analysis Settings'!$B$8*IF('Raw Data (0-4 Scores)'!J18&gt;'Analysis Settings'!$F$15,('Raw Data (0-4 Scores)'!J18-'Analysis Settings'!$F$15)/('Analysis Settings'!$G$15-'Analysis Settings'!$F$15),('Raw Data (0-4 Scores)'!J18-'Analysis Settings'!$F$15)/('Analysis Settings'!$F$15-'Analysis Settings'!$E$15)))))</f>
        <v>0.93217253322527993</v>
      </c>
      <c r="D18" s="22">
        <f>IF('Raw Data (0-4 Scores)'!K18='Analysis Settings'!$F$16,'Analysis Settings'!$B$9,1/(1+EXP(-'Analysis Settings'!$B$8*IF('Raw Data (0-4 Scores)'!K18&gt;'Analysis Settings'!$F$16,('Raw Data (0-4 Scores)'!K18-'Analysis Settings'!$F$16)/('Analysis Settings'!$G$16-'Analysis Settings'!$F$16),('Raw Data (0-4 Scores)'!K18-'Analysis Settings'!$F$16)/('Analysis Settings'!$F$16-'Analysis Settings'!$E$16)))))</f>
        <v>4.2245027618854757E-2</v>
      </c>
      <c r="E18" s="22">
        <f>IF('Raw Data (0-4 Scores)'!L18='Analysis Settings'!$F$17,'Analysis Settings'!$B$9,1/(1+EXP(-'Analysis Settings'!$B$8*IF('Raw Data (0-4 Scores)'!L18&gt;'Analysis Settings'!$F$17,('Raw Data (0-4 Scores)'!L18-'Analysis Settings'!$F$17)/('Analysis Settings'!$G$17-'Analysis Settings'!$F$17),('Raw Data (0-4 Scores)'!L18-'Analysis Settings'!$F$17)/('Analysis Settings'!$F$17-'Analysis Settings'!$E$17)))))</f>
        <v>0.95893037635095557</v>
      </c>
      <c r="F18" s="22">
        <f>IF('Raw Data (0-4 Scores)'!M18='Analysis Settings'!$F$18,'Analysis Settings'!$B$9,1/(1+EXP(-'Analysis Settings'!$B$8*IF('Raw Data (0-4 Scores)'!M18&gt;'Analysis Settings'!$F$18,('Raw Data (0-4 Scores)'!M18-'Analysis Settings'!$F$18)/('Analysis Settings'!$G$18-'Analysis Settings'!$F$18),('Raw Data (0-4 Scores)'!M18-'Analysis Settings'!$F$18)/('Analysis Settings'!$F$18-'Analysis Settings'!$E$18)))))</f>
        <v>0.59454272280242249</v>
      </c>
      <c r="G18" s="22">
        <f>IF('Raw Data (0-4 Scores)'!N18='Analysis Settings'!$F$19,'Analysis Settings'!$B$9,1/(1+EXP(-'Analysis Settings'!$B$8*IF('Raw Data (0-4 Scores)'!N18&gt;'Analysis Settings'!$F$19,('Raw Data (0-4 Scores)'!N18-'Analysis Settings'!$F$19)/('Analysis Settings'!$G$19-'Analysis Settings'!$F$19),('Raw Data (0-4 Scores)'!N18-'Analysis Settings'!$F$19)/('Analysis Settings'!$F$19-'Analysis Settings'!$E$19)))))</f>
        <v>0.58027156428107285</v>
      </c>
      <c r="H18" s="22">
        <f>IF('Raw Data (0-4 Scores)'!O18='Analysis Settings'!$F$20,'Analysis Settings'!$B$9,1/(1+EXP(-'Analysis Settings'!$B$8*IF('Raw Data (0-4 Scores)'!O18&gt;'Analysis Settings'!$F$20,('Raw Data (0-4 Scores)'!O18-'Analysis Settings'!$F$20)/('Analysis Settings'!$G$20-'Analysis Settings'!$F$20),('Raw Data (0-4 Scores)'!O18-'Analysis Settings'!$F$20)/('Analysis Settings'!$F$20-'Analysis Settings'!$E$20)))))</f>
        <v>3.9925560203945623E-2</v>
      </c>
      <c r="I18" s="22">
        <f>IF('Raw Data (0-4 Scores)'!P18='Analysis Settings'!$F$21,'Analysis Settings'!$B$9,1/(1+EXP(-'Analysis Settings'!$B$8*IF('Raw Data (0-4 Scores)'!P18&gt;'Analysis Settings'!$F$21,('Raw Data (0-4 Scores)'!P18-'Analysis Settings'!$F$21)/('Analysis Settings'!$G$21-'Analysis Settings'!$F$21),('Raw Data (0-4 Scores)'!P18-'Analysis Settings'!$F$21)/('Analysis Settings'!$F$21-'Analysis Settings'!$E$21)))))</f>
        <v>0.41257448944264608</v>
      </c>
      <c r="J18" s="22">
        <f t="shared" si="0"/>
        <v>0.41257448944264608</v>
      </c>
    </row>
    <row r="19" spans="1:10" ht="15" customHeight="1" x14ac:dyDescent="0.3">
      <c r="A19" s="20" t="str">
        <f>'Raw Data (0-4 Scores)'!A19</f>
        <v>Broadcom Inc.</v>
      </c>
      <c r="B19" s="20">
        <f>'Raw Data (0-4 Scores)'!E19</f>
        <v>2025</v>
      </c>
      <c r="C19" s="22">
        <f>IF('Raw Data (0-4 Scores)'!J19='Analysis Settings'!$F$15,'Analysis Settings'!$B$9,1/(1+EXP(-'Analysis Settings'!$B$8*IF('Raw Data (0-4 Scores)'!J19&gt;'Analysis Settings'!$F$15,('Raw Data (0-4 Scores)'!J19-'Analysis Settings'!$F$15)/('Analysis Settings'!$G$15-'Analysis Settings'!$F$15),('Raw Data (0-4 Scores)'!J19-'Analysis Settings'!$F$15)/('Analysis Settings'!$F$15-'Analysis Settings'!$E$15)))))</f>
        <v>0.98806954215117049</v>
      </c>
      <c r="D19" s="22">
        <f>IF('Raw Data (0-4 Scores)'!K19='Analysis Settings'!$F$16,'Analysis Settings'!$B$9,1/(1+EXP(-'Analysis Settings'!$B$8*IF('Raw Data (0-4 Scores)'!K19&gt;'Analysis Settings'!$F$16,('Raw Data (0-4 Scores)'!K19-'Analysis Settings'!$F$16)/('Analysis Settings'!$G$16-'Analysis Settings'!$F$16),('Raw Data (0-4 Scores)'!K19-'Analysis Settings'!$F$16)/('Analysis Settings'!$F$16-'Analysis Settings'!$E$16)))))</f>
        <v>9.1399756768021381E-2</v>
      </c>
      <c r="E19" s="22">
        <f>IF('Raw Data (0-4 Scores)'!L19='Analysis Settings'!$F$17,'Analysis Settings'!$B$9,1/(1+EXP(-'Analysis Settings'!$B$8*IF('Raw Data (0-4 Scores)'!L19&gt;'Analysis Settings'!$F$17,('Raw Data (0-4 Scores)'!L19-'Analysis Settings'!$F$17)/('Analysis Settings'!$G$17-'Analysis Settings'!$F$17),('Raw Data (0-4 Scores)'!L19-'Analysis Settings'!$F$17)/('Analysis Settings'!$F$17-'Analysis Settings'!$E$17)))))</f>
        <v>0.97808287869001476</v>
      </c>
      <c r="F19" s="22">
        <f>IF('Raw Data (0-4 Scores)'!M19='Analysis Settings'!$F$18,'Analysis Settings'!$B$9,1/(1+EXP(-'Analysis Settings'!$B$8*IF('Raw Data (0-4 Scores)'!M19&gt;'Analysis Settings'!$F$18,('Raw Data (0-4 Scores)'!M19-'Analysis Settings'!$F$18)/('Analysis Settings'!$G$18-'Analysis Settings'!$F$18),('Raw Data (0-4 Scores)'!M19-'Analysis Settings'!$F$18)/('Analysis Settings'!$F$18-'Analysis Settings'!$E$18)))))</f>
        <v>0.72545121592291795</v>
      </c>
      <c r="G19" s="22">
        <f>IF('Raw Data (0-4 Scores)'!N19='Analysis Settings'!$F$19,'Analysis Settings'!$B$9,1/(1+EXP(-'Analysis Settings'!$B$8*IF('Raw Data (0-4 Scores)'!N19&gt;'Analysis Settings'!$F$19,('Raw Data (0-4 Scores)'!N19-'Analysis Settings'!$F$19)/('Analysis Settings'!$G$19-'Analysis Settings'!$F$19),('Raw Data (0-4 Scores)'!N19-'Analysis Settings'!$F$19)/('Analysis Settings'!$F$19-'Analysis Settings'!$E$19)))))</f>
        <v>0.76454761353770029</v>
      </c>
      <c r="H19" s="22">
        <f>IF('Raw Data (0-4 Scores)'!O19='Analysis Settings'!$F$20,'Analysis Settings'!$B$9,1/(1+EXP(-'Analysis Settings'!$B$8*IF('Raw Data (0-4 Scores)'!O19&gt;'Analysis Settings'!$F$20,('Raw Data (0-4 Scores)'!O19-'Analysis Settings'!$F$20)/('Analysis Settings'!$G$20-'Analysis Settings'!$F$20),('Raw Data (0-4 Scores)'!O19-'Analysis Settings'!$F$20)/('Analysis Settings'!$F$20-'Analysis Settings'!$E$20)))))</f>
        <v>9.3874586731419615E-2</v>
      </c>
      <c r="I19" s="22">
        <f>IF('Raw Data (0-4 Scores)'!P19='Analysis Settings'!$F$21,'Analysis Settings'!$B$9,1/(1+EXP(-'Analysis Settings'!$B$8*IF('Raw Data (0-4 Scores)'!P19&gt;'Analysis Settings'!$F$21,('Raw Data (0-4 Scores)'!P19-'Analysis Settings'!$F$21)/('Analysis Settings'!$G$21-'Analysis Settings'!$F$21),('Raw Data (0-4 Scores)'!P19-'Analysis Settings'!$F$21)/('Analysis Settings'!$F$21-'Analysis Settings'!$E$21)))))</f>
        <v>0.78508563437356738</v>
      </c>
      <c r="J19" s="22">
        <f t="shared" si="0"/>
        <v>0.21491436562643262</v>
      </c>
    </row>
    <row r="20" spans="1:10" ht="15" customHeight="1" x14ac:dyDescent="0.3">
      <c r="A20" s="20" t="str">
        <f>'Raw Data (0-4 Scores)'!A20</f>
        <v>DB HiTek</v>
      </c>
      <c r="B20" s="20">
        <f>'Raw Data (0-4 Scores)'!E20</f>
        <v>2023</v>
      </c>
      <c r="C20" s="22">
        <f>IF('Raw Data (0-4 Scores)'!J20='Analysis Settings'!$F$15,'Analysis Settings'!$B$9,1/(1+EXP(-'Analysis Settings'!$B$8*IF('Raw Data (0-4 Scores)'!J20&gt;'Analysis Settings'!$F$15,('Raw Data (0-4 Scores)'!J20-'Analysis Settings'!$F$15)/('Analysis Settings'!$G$15-'Analysis Settings'!$F$15),('Raw Data (0-4 Scores)'!J20-'Analysis Settings'!$F$15)/('Analysis Settings'!$F$15-'Analysis Settings'!$E$15)))))</f>
        <v>2.3215690301146001E-2</v>
      </c>
      <c r="D20" s="22">
        <f>IF('Raw Data (0-4 Scores)'!K20='Analysis Settings'!$F$16,'Analysis Settings'!$B$9,1/(1+EXP(-'Analysis Settings'!$B$8*IF('Raw Data (0-4 Scores)'!K20&gt;'Analysis Settings'!$F$16,('Raw Data (0-4 Scores)'!K20-'Analysis Settings'!$F$16)/('Analysis Settings'!$G$16-'Analysis Settings'!$F$16),('Raw Data (0-4 Scores)'!K20-'Analysis Settings'!$F$16)/('Analysis Settings'!$F$16-'Analysis Settings'!$E$16)))))</f>
        <v>1.3401706499242933E-2</v>
      </c>
      <c r="E20" s="22">
        <f>IF('Raw Data (0-4 Scores)'!L20='Analysis Settings'!$F$17,'Analysis Settings'!$B$9,1/(1+EXP(-'Analysis Settings'!$B$8*IF('Raw Data (0-4 Scores)'!L20&gt;'Analysis Settings'!$F$17,('Raw Data (0-4 Scores)'!L20-'Analysis Settings'!$F$17)/('Analysis Settings'!$G$17-'Analysis Settings'!$F$17),('Raw Data (0-4 Scores)'!L20-'Analysis Settings'!$F$17)/('Analysis Settings'!$F$17-'Analysis Settings'!$E$17)))))</f>
        <v>0.2199240956723113</v>
      </c>
      <c r="F20" s="22">
        <f>IF('Raw Data (0-4 Scores)'!M20='Analysis Settings'!$F$18,'Analysis Settings'!$B$9,1/(1+EXP(-'Analysis Settings'!$B$8*IF('Raw Data (0-4 Scores)'!M20&gt;'Analysis Settings'!$F$18,('Raw Data (0-4 Scores)'!M20-'Analysis Settings'!$F$18)/('Analysis Settings'!$G$18-'Analysis Settings'!$F$18),('Raw Data (0-4 Scores)'!M20-'Analysis Settings'!$F$18)/('Analysis Settings'!$F$18-'Analysis Settings'!$E$18)))))</f>
        <v>2.0101403546368971E-2</v>
      </c>
      <c r="G20" s="22">
        <f>IF('Raw Data (0-4 Scores)'!N20='Analysis Settings'!$F$19,'Analysis Settings'!$B$9,1/(1+EXP(-'Analysis Settings'!$B$8*IF('Raw Data (0-4 Scores)'!N20&gt;'Analysis Settings'!$F$19,('Raw Data (0-4 Scores)'!N20-'Analysis Settings'!$F$19)/('Analysis Settings'!$G$19-'Analysis Settings'!$F$19),('Raw Data (0-4 Scores)'!N20-'Analysis Settings'!$F$19)/('Analysis Settings'!$F$19-'Analysis Settings'!$E$19)))))</f>
        <v>5.4366556969581412E-2</v>
      </c>
      <c r="H20" s="22">
        <f>IF('Raw Data (0-4 Scores)'!O20='Analysis Settings'!$F$20,'Analysis Settings'!$B$9,1/(1+EXP(-'Analysis Settings'!$B$8*IF('Raw Data (0-4 Scores)'!O20&gt;'Analysis Settings'!$F$20,('Raw Data (0-4 Scores)'!O20-'Analysis Settings'!$F$20)/('Analysis Settings'!$G$20-'Analysis Settings'!$F$20),('Raw Data (0-4 Scores)'!O20-'Analysis Settings'!$F$20)/('Analysis Settings'!$F$20-'Analysis Settings'!$E$20)))))</f>
        <v>3.0918511979138176E-2</v>
      </c>
      <c r="I20" s="22">
        <f>IF('Raw Data (0-4 Scores)'!P20='Analysis Settings'!$F$21,'Analysis Settings'!$B$9,1/(1+EXP(-'Analysis Settings'!$B$8*IF('Raw Data (0-4 Scores)'!P20&gt;'Analysis Settings'!$F$21,('Raw Data (0-4 Scores)'!P20-'Analysis Settings'!$F$21)/('Analysis Settings'!$G$21-'Analysis Settings'!$F$21),('Raw Data (0-4 Scores)'!P20-'Analysis Settings'!$F$21)/('Analysis Settings'!$F$21-'Analysis Settings'!$E$21)))))</f>
        <v>5.590033209290831E-2</v>
      </c>
      <c r="J20" s="22">
        <f t="shared" si="0"/>
        <v>5.590033209290831E-2</v>
      </c>
    </row>
    <row r="21" spans="1:10" ht="15" customHeight="1" x14ac:dyDescent="0.3">
      <c r="A21" s="20" t="str">
        <f>'Raw Data (0-4 Scores)'!A21</f>
        <v>DB HiTek</v>
      </c>
      <c r="B21" s="20">
        <f>'Raw Data (0-4 Scores)'!E21</f>
        <v>2024</v>
      </c>
      <c r="C21" s="22">
        <f>IF('Raw Data (0-4 Scores)'!J21='Analysis Settings'!$F$15,'Analysis Settings'!$B$9,1/(1+EXP(-'Analysis Settings'!$B$8*IF('Raw Data (0-4 Scores)'!J21&gt;'Analysis Settings'!$F$15,('Raw Data (0-4 Scores)'!J21-'Analysis Settings'!$F$15)/('Analysis Settings'!$G$15-'Analysis Settings'!$F$15),('Raw Data (0-4 Scores)'!J21-'Analysis Settings'!$F$15)/('Analysis Settings'!$F$15-'Analysis Settings'!$E$15)))))</f>
        <v>6.7827466774720027E-2</v>
      </c>
      <c r="D21" s="22">
        <f>IF('Raw Data (0-4 Scores)'!K21='Analysis Settings'!$F$16,'Analysis Settings'!$B$9,1/(1+EXP(-'Analysis Settings'!$B$8*IF('Raw Data (0-4 Scores)'!K21&gt;'Analysis Settings'!$F$16,('Raw Data (0-4 Scores)'!K21-'Analysis Settings'!$F$16)/('Analysis Settings'!$G$16-'Analysis Settings'!$F$16),('Raw Data (0-4 Scores)'!K21-'Analysis Settings'!$F$16)/('Analysis Settings'!$F$16-'Analysis Settings'!$E$16)))))</f>
        <v>4.7275762366902646E-2</v>
      </c>
      <c r="E21" s="22">
        <f>IF('Raw Data (0-4 Scores)'!L21='Analysis Settings'!$F$17,'Analysis Settings'!$B$9,1/(1+EXP(-'Analysis Settings'!$B$8*IF('Raw Data (0-4 Scores)'!L21&gt;'Analysis Settings'!$F$17,('Raw Data (0-4 Scores)'!L21-'Analysis Settings'!$F$17)/('Analysis Settings'!$G$17-'Analysis Settings'!$F$17),('Raw Data (0-4 Scores)'!L21-'Analysis Settings'!$F$17)/('Analysis Settings'!$F$17-'Analysis Settings'!$E$17)))))</f>
        <v>0.31744161997163201</v>
      </c>
      <c r="F21" s="22">
        <f>IF('Raw Data (0-4 Scores)'!M21='Analysis Settings'!$F$18,'Analysis Settings'!$B$9,1/(1+EXP(-'Analysis Settings'!$B$8*IF('Raw Data (0-4 Scores)'!M21&gt;'Analysis Settings'!$F$18,('Raw Data (0-4 Scores)'!M21-'Analysis Settings'!$F$18)/('Analysis Settings'!$G$18-'Analysis Settings'!$F$18),('Raw Data (0-4 Scores)'!M21-'Analysis Settings'!$F$18)/('Analysis Settings'!$F$18-'Analysis Settings'!$E$18)))))</f>
        <v>4.7275762366902646E-2</v>
      </c>
      <c r="G21" s="22">
        <f>IF('Raw Data (0-4 Scores)'!N21='Analysis Settings'!$F$19,'Analysis Settings'!$B$9,1/(1+EXP(-'Analysis Settings'!$B$8*IF('Raw Data (0-4 Scores)'!N21&gt;'Analysis Settings'!$F$19,('Raw Data (0-4 Scores)'!N21-'Analysis Settings'!$F$19)/('Analysis Settings'!$G$19-'Analysis Settings'!$F$19),('Raw Data (0-4 Scores)'!N21-'Analysis Settings'!$F$19)/('Analysis Settings'!$F$19-'Analysis Settings'!$E$19)))))</f>
        <v>7.1646923729970266E-2</v>
      </c>
      <c r="H21" s="22">
        <f>IF('Raw Data (0-4 Scores)'!O21='Analysis Settings'!$F$20,'Analysis Settings'!$B$9,1/(1+EXP(-'Analysis Settings'!$B$8*IF('Raw Data (0-4 Scores)'!O21&gt;'Analysis Settings'!$F$20,('Raw Data (0-4 Scores)'!O21-'Analysis Settings'!$F$20)/('Analysis Settings'!$G$20-'Analysis Settings'!$F$20),('Raw Data (0-4 Scores)'!O21-'Analysis Settings'!$F$20)/('Analysis Settings'!$F$20-'Analysis Settings'!$E$20)))))</f>
        <v>0.11897018984817385</v>
      </c>
      <c r="I21" s="22">
        <f>IF('Raw Data (0-4 Scores)'!P21='Analysis Settings'!$F$21,'Analysis Settings'!$B$9,1/(1+EXP(-'Analysis Settings'!$B$8*IF('Raw Data (0-4 Scores)'!P21&gt;'Analysis Settings'!$F$21,('Raw Data (0-4 Scores)'!P21-'Analysis Settings'!$F$21)/('Analysis Settings'!$G$21-'Analysis Settings'!$F$21),('Raw Data (0-4 Scores)'!P21-'Analysis Settings'!$F$21)/('Analysis Settings'!$F$21-'Analysis Settings'!$E$21)))))</f>
        <v>4.1069623649044353E-2</v>
      </c>
      <c r="J21" s="22">
        <f t="shared" si="0"/>
        <v>4.1069623649044353E-2</v>
      </c>
    </row>
    <row r="22" spans="1:10" ht="15" customHeight="1" x14ac:dyDescent="0.3">
      <c r="A22" s="20" t="str">
        <f>'Raw Data (0-4 Scores)'!A22</f>
        <v>DB HiTek</v>
      </c>
      <c r="B22" s="20">
        <f>'Raw Data (0-4 Scores)'!E22</f>
        <v>2025</v>
      </c>
      <c r="C22" s="22">
        <f>IF('Raw Data (0-4 Scores)'!J22='Analysis Settings'!$F$15,'Analysis Settings'!$B$9,1/(1+EXP(-'Analysis Settings'!$B$8*IF('Raw Data (0-4 Scores)'!J22&gt;'Analysis Settings'!$F$15,('Raw Data (0-4 Scores)'!J22-'Analysis Settings'!$F$15)/('Analysis Settings'!$G$15-'Analysis Settings'!$F$15),('Raw Data (0-4 Scores)'!J22-'Analysis Settings'!$F$15)/('Analysis Settings'!$F$15-'Analysis Settings'!$E$15)))))</f>
        <v>0.24079402783585596</v>
      </c>
      <c r="D22" s="22">
        <f>IF('Raw Data (0-4 Scores)'!K22='Analysis Settings'!$F$16,'Analysis Settings'!$B$9,1/(1+EXP(-'Analysis Settings'!$B$8*IF('Raw Data (0-4 Scores)'!K22&gt;'Analysis Settings'!$F$16,('Raw Data (0-4 Scores)'!K22-'Analysis Settings'!$F$16)/('Analysis Settings'!$G$16-'Analysis Settings'!$F$16),('Raw Data (0-4 Scores)'!K22-'Analysis Settings'!$F$16)/('Analysis Settings'!$F$16-'Analysis Settings'!$E$16)))))</f>
        <v>7.3630248921681504E-2</v>
      </c>
      <c r="E22" s="22">
        <f>IF('Raw Data (0-4 Scores)'!L22='Analysis Settings'!$F$17,'Analysis Settings'!$B$9,1/(1+EXP(-'Analysis Settings'!$B$8*IF('Raw Data (0-4 Scores)'!L22&gt;'Analysis Settings'!$F$17,('Raw Data (0-4 Scores)'!L22-'Analysis Settings'!$F$17)/('Analysis Settings'!$G$17-'Analysis Settings'!$F$17),('Raw Data (0-4 Scores)'!L22-'Analysis Settings'!$F$17)/('Analysis Settings'!$F$17-'Analysis Settings'!$E$17)))))</f>
        <v>0.24621782685544383</v>
      </c>
      <c r="F22" s="22">
        <f>IF('Raw Data (0-4 Scores)'!M22='Analysis Settings'!$F$18,'Analysis Settings'!$B$9,1/(1+EXP(-'Analysis Settings'!$B$8*IF('Raw Data (0-4 Scores)'!M22&gt;'Analysis Settings'!$F$18,('Raw Data (0-4 Scores)'!M22-'Analysis Settings'!$F$18)/('Analysis Settings'!$G$18-'Analysis Settings'!$F$18),('Raw Data (0-4 Scores)'!M22-'Analysis Settings'!$F$18)/('Analysis Settings'!$F$18-'Analysis Settings'!$E$18)))))</f>
        <v>0.16938431215463484</v>
      </c>
      <c r="G22" s="22">
        <f>IF('Raw Data (0-4 Scores)'!N22='Analysis Settings'!$F$19,'Analysis Settings'!$B$9,1/(1+EXP(-'Analysis Settings'!$B$8*IF('Raw Data (0-4 Scores)'!N22&gt;'Analysis Settings'!$F$19,('Raw Data (0-4 Scores)'!N22-'Analysis Settings'!$F$19)/('Analysis Settings'!$G$19-'Analysis Settings'!$F$19),('Raw Data (0-4 Scores)'!N22-'Analysis Settings'!$F$19)/('Analysis Settings'!$F$19-'Analysis Settings'!$E$19)))))</f>
        <v>9.1399756768021381E-2</v>
      </c>
      <c r="H22" s="22">
        <f>IF('Raw Data (0-4 Scores)'!O22='Analysis Settings'!$F$20,'Analysis Settings'!$B$9,1/(1+EXP(-'Analysis Settings'!$B$8*IF('Raw Data (0-4 Scores)'!O22&gt;'Analysis Settings'!$F$20,('Raw Data (0-4 Scores)'!O22-'Analysis Settings'!$F$20)/('Analysis Settings'!$G$20-'Analysis Settings'!$F$20),('Raw Data (0-4 Scores)'!O22-'Analysis Settings'!$F$20)/('Analysis Settings'!$F$20-'Analysis Settings'!$E$20)))))</f>
        <v>0.12854498369787987</v>
      </c>
      <c r="I22" s="22">
        <f>IF('Raw Data (0-4 Scores)'!P22='Analysis Settings'!$F$21,'Analysis Settings'!$B$9,1/(1+EXP(-'Analysis Settings'!$B$8*IF('Raw Data (0-4 Scores)'!P22&gt;'Analysis Settings'!$F$21,('Raw Data (0-4 Scores)'!P22-'Analysis Settings'!$F$21)/('Analysis Settings'!$G$21-'Analysis Settings'!$F$21),('Raw Data (0-4 Scores)'!P22-'Analysis Settings'!$F$21)/('Analysis Settings'!$F$21-'Analysis Settings'!$E$21)))))</f>
        <v>0.14595776020489165</v>
      </c>
      <c r="J22" s="22">
        <f t="shared" si="0"/>
        <v>0.14595776020489165</v>
      </c>
    </row>
    <row r="23" spans="1:10" ht="15" customHeight="1" x14ac:dyDescent="0.3">
      <c r="A23" s="20" t="str">
        <f>'Raw Data (0-4 Scores)'!A23</f>
        <v>Frencken Group</v>
      </c>
      <c r="B23" s="20">
        <f>'Raw Data (0-4 Scores)'!E23</f>
        <v>2023</v>
      </c>
      <c r="C23" s="22">
        <f>IF('Raw Data (0-4 Scores)'!J23='Analysis Settings'!$F$15,'Analysis Settings'!$B$9,1/(1+EXP(-'Analysis Settings'!$B$8*IF('Raw Data (0-4 Scores)'!J23&gt;'Analysis Settings'!$F$15,('Raw Data (0-4 Scores)'!J23-'Analysis Settings'!$F$15)/('Analysis Settings'!$G$15-'Analysis Settings'!$F$15),('Raw Data (0-4 Scores)'!J23-'Analysis Settings'!$F$15)/('Analysis Settings'!$F$15-'Analysis Settings'!$E$15)))))</f>
        <v>1.8973648379915675E-2</v>
      </c>
      <c r="D23" s="22">
        <f>IF('Raw Data (0-4 Scores)'!K23='Analysis Settings'!$F$16,'Analysis Settings'!$B$9,1/(1+EXP(-'Analysis Settings'!$B$8*IF('Raw Data (0-4 Scores)'!K23&gt;'Analysis Settings'!$F$16,('Raw Data (0-4 Scores)'!K23-'Analysis Settings'!$F$16)/('Analysis Settings'!$G$16-'Analysis Settings'!$F$16),('Raw Data (0-4 Scores)'!K23-'Analysis Settings'!$F$16)/('Analysis Settings'!$F$16-'Analysis Settings'!$E$16)))))</f>
        <v>1.4621284503620189E-2</v>
      </c>
      <c r="E23" s="22">
        <f>IF('Raw Data (0-4 Scores)'!L23='Analysis Settings'!$F$17,'Analysis Settings'!$B$9,1/(1+EXP(-'Analysis Settings'!$B$8*IF('Raw Data (0-4 Scores)'!L23&gt;'Analysis Settings'!$F$17,('Raw Data (0-4 Scores)'!L23-'Analysis Settings'!$F$17)/('Analysis Settings'!$G$17-'Analysis Settings'!$F$17),('Raw Data (0-4 Scores)'!L23-'Analysis Settings'!$F$17)/('Analysis Settings'!$F$17-'Analysis Settings'!$E$17)))))</f>
        <v>5.000000000000001E-2</v>
      </c>
      <c r="F23" s="22">
        <f>IF('Raw Data (0-4 Scores)'!M23='Analysis Settings'!$F$18,'Analysis Settings'!$B$9,1/(1+EXP(-'Analysis Settings'!$B$8*IF('Raw Data (0-4 Scores)'!M23&gt;'Analysis Settings'!$F$18,('Raw Data (0-4 Scores)'!M23-'Analysis Settings'!$F$18)/('Analysis Settings'!$G$18-'Analysis Settings'!$F$18),('Raw Data (0-4 Scores)'!M23-'Analysis Settings'!$F$18)/('Analysis Settings'!$F$18-'Analysis Settings'!$E$18)))))</f>
        <v>1.8433273496656633E-2</v>
      </c>
      <c r="G23" s="22">
        <f>IF('Raw Data (0-4 Scores)'!N23='Analysis Settings'!$F$19,'Analysis Settings'!$B$9,1/(1+EXP(-'Analysis Settings'!$B$8*IF('Raw Data (0-4 Scores)'!N23&gt;'Analysis Settings'!$F$19,('Raw Data (0-4 Scores)'!N23-'Analysis Settings'!$F$19)/('Analysis Settings'!$G$19-'Analysis Settings'!$F$19),('Raw Data (0-4 Scores)'!N23-'Analysis Settings'!$F$19)/('Analysis Settings'!$F$19-'Analysis Settings'!$E$19)))))</f>
        <v>5.4366556969581412E-2</v>
      </c>
      <c r="H23" s="22">
        <f>IF('Raw Data (0-4 Scores)'!O23='Analysis Settings'!$F$20,'Analysis Settings'!$B$9,1/(1+EXP(-'Analysis Settings'!$B$8*IF('Raw Data (0-4 Scores)'!O23&gt;'Analysis Settings'!$F$20,('Raw Data (0-4 Scores)'!O23-'Analysis Settings'!$F$20)/('Analysis Settings'!$G$20-'Analysis Settings'!$F$20),('Raw Data (0-4 Scores)'!O23-'Analysis Settings'!$F$20)/('Analysis Settings'!$F$20-'Analysis Settings'!$E$20)))))</f>
        <v>0.87145501630212008</v>
      </c>
      <c r="I23" s="22">
        <f>IF('Raw Data (0-4 Scores)'!P23='Analysis Settings'!$F$21,'Analysis Settings'!$B$9,1/(1+EXP(-'Analysis Settings'!$B$8*IF('Raw Data (0-4 Scores)'!P23&gt;'Analysis Settings'!$F$21,('Raw Data (0-4 Scores)'!P23-'Analysis Settings'!$F$21)/('Analysis Settings'!$G$21-'Analysis Settings'!$F$21),('Raw Data (0-4 Scores)'!P23-'Analysis Settings'!$F$21)/('Analysis Settings'!$F$21-'Analysis Settings'!$E$21)))))</f>
        <v>0.79001196543342744</v>
      </c>
      <c r="J23" s="22">
        <f t="shared" si="0"/>
        <v>0.20998803456657256</v>
      </c>
    </row>
    <row r="24" spans="1:10" ht="15" customHeight="1" x14ac:dyDescent="0.3">
      <c r="A24" s="20" t="str">
        <f>'Raw Data (0-4 Scores)'!A24</f>
        <v>Frencken Group</v>
      </c>
      <c r="B24" s="20">
        <f>'Raw Data (0-4 Scores)'!E24</f>
        <v>2024</v>
      </c>
      <c r="C24" s="22">
        <f>IF('Raw Data (0-4 Scores)'!J24='Analysis Settings'!$F$15,'Analysis Settings'!$B$9,1/(1+EXP(-'Analysis Settings'!$B$8*IF('Raw Data (0-4 Scores)'!J24&gt;'Analysis Settings'!$F$15,('Raw Data (0-4 Scores)'!J24-'Analysis Settings'!$F$15)/('Analysis Settings'!$G$15-'Analysis Settings'!$F$15),('Raw Data (0-4 Scores)'!J24-'Analysis Settings'!$F$15)/('Analysis Settings'!$F$15-'Analysis Settings'!$E$15)))))</f>
        <v>3.9925560203945623E-2</v>
      </c>
      <c r="D24" s="22">
        <f>IF('Raw Data (0-4 Scores)'!K24='Analysis Settings'!$F$16,'Analysis Settings'!$B$9,1/(1+EXP(-'Analysis Settings'!$B$8*IF('Raw Data (0-4 Scores)'!K24&gt;'Analysis Settings'!$F$16,('Raw Data (0-4 Scores)'!K24-'Analysis Settings'!$F$16)/('Analysis Settings'!$G$16-'Analysis Settings'!$F$16),('Raw Data (0-4 Scores)'!K24-'Analysis Settings'!$F$16)/('Analysis Settings'!$F$16-'Analysis Settings'!$E$16)))))</f>
        <v>5.000000000000001E-2</v>
      </c>
      <c r="E24" s="22">
        <f>IF('Raw Data (0-4 Scores)'!L24='Analysis Settings'!$F$17,'Analysis Settings'!$B$9,1/(1+EXP(-'Analysis Settings'!$B$8*IF('Raw Data (0-4 Scores)'!L24&gt;'Analysis Settings'!$F$17,('Raw Data (0-4 Scores)'!L24-'Analysis Settings'!$F$17)/('Analysis Settings'!$G$17-'Analysis Settings'!$F$17),('Raw Data (0-4 Scores)'!L24-'Analysis Settings'!$F$17)/('Analysis Settings'!$F$17-'Analysis Settings'!$E$17)))))</f>
        <v>3.0048363945809339E-2</v>
      </c>
      <c r="F24" s="22">
        <f>IF('Raw Data (0-4 Scores)'!M24='Analysis Settings'!$F$18,'Analysis Settings'!$B$9,1/(1+EXP(-'Analysis Settings'!$B$8*IF('Raw Data (0-4 Scores)'!M24&gt;'Analysis Settings'!$F$18,('Raw Data (0-4 Scores)'!M24-'Analysis Settings'!$F$18)/('Analysis Settings'!$G$18-'Analysis Settings'!$F$18),('Raw Data (0-4 Scores)'!M24-'Analysis Settings'!$F$18)/('Analysis Settings'!$F$18-'Analysis Settings'!$E$18)))))</f>
        <v>4.4692971251104087E-2</v>
      </c>
      <c r="G24" s="22">
        <f>IF('Raw Data (0-4 Scores)'!N24='Analysis Settings'!$F$19,'Analysis Settings'!$B$9,1/(1+EXP(-'Analysis Settings'!$B$8*IF('Raw Data (0-4 Scores)'!N24&gt;'Analysis Settings'!$F$19,('Raw Data (0-4 Scores)'!N24-'Analysis Settings'!$F$19)/('Analysis Settings'!$G$19-'Analysis Settings'!$F$19),('Raw Data (0-4 Scores)'!N24-'Analysis Settings'!$F$19)/('Analysis Settings'!$F$19-'Analysis Settings'!$E$19)))))</f>
        <v>7.1646923729970266E-2</v>
      </c>
      <c r="H24" s="22">
        <f>IF('Raw Data (0-4 Scores)'!O24='Analysis Settings'!$F$20,'Analysis Settings'!$B$9,1/(1+EXP(-'Analysis Settings'!$B$8*IF('Raw Data (0-4 Scores)'!O24&gt;'Analysis Settings'!$F$20,('Raw Data (0-4 Scores)'!O24-'Analysis Settings'!$F$20)/('Analysis Settings'!$G$20-'Analysis Settings'!$F$20),('Raw Data (0-4 Scores)'!O24-'Analysis Settings'!$F$20)/('Analysis Settings'!$F$20-'Analysis Settings'!$E$20)))))</f>
        <v>0.95775497238114526</v>
      </c>
      <c r="I24" s="22">
        <f>IF('Raw Data (0-4 Scores)'!P24='Analysis Settings'!$F$21,'Analysis Settings'!$B$9,1/(1+EXP(-'Analysis Settings'!$B$8*IF('Raw Data (0-4 Scores)'!P24&gt;'Analysis Settings'!$F$21,('Raw Data (0-4 Scores)'!P24-'Analysis Settings'!$F$21)/('Analysis Settings'!$G$21-'Analysis Settings'!$F$21),('Raw Data (0-4 Scores)'!P24-'Analysis Settings'!$F$21)/('Analysis Settings'!$F$21-'Analysis Settings'!$E$21)))))</f>
        <v>0.96007443979605434</v>
      </c>
      <c r="J24" s="22">
        <f t="shared" si="0"/>
        <v>3.9925560203945665E-2</v>
      </c>
    </row>
    <row r="25" spans="1:10" ht="15" customHeight="1" x14ac:dyDescent="0.3">
      <c r="A25" s="20" t="str">
        <f>'Raw Data (0-4 Scores)'!A25</f>
        <v>Frencken Group</v>
      </c>
      <c r="B25" s="20">
        <f>'Raw Data (0-4 Scores)'!E25</f>
        <v>2025</v>
      </c>
      <c r="C25" s="22">
        <f>IF('Raw Data (0-4 Scores)'!J25='Analysis Settings'!$F$15,'Analysis Settings'!$B$9,1/(1+EXP(-'Analysis Settings'!$B$8*IF('Raw Data (0-4 Scores)'!J25&gt;'Analysis Settings'!$F$15,('Raw Data (0-4 Scores)'!J25-'Analysis Settings'!$F$15)/('Analysis Settings'!$G$15-'Analysis Settings'!$F$15),('Raw Data (0-4 Scores)'!J25-'Analysis Settings'!$F$15)/('Analysis Settings'!$F$15-'Analysis Settings'!$E$15)))))</f>
        <v>0.14232552339703083</v>
      </c>
      <c r="D25" s="22">
        <f>IF('Raw Data (0-4 Scores)'!K25='Analysis Settings'!$F$16,'Analysis Settings'!$B$9,1/(1+EXP(-'Analysis Settings'!$B$8*IF('Raw Data (0-4 Scores)'!K25&gt;'Analysis Settings'!$F$16,('Raw Data (0-4 Scores)'!K25-'Analysis Settings'!$F$16)/('Analysis Settings'!$G$16-'Analysis Settings'!$F$16),('Raw Data (0-4 Scores)'!K25-'Analysis Settings'!$F$16)/('Analysis Settings'!$F$16-'Analysis Settings'!$E$16)))))</f>
        <v>7.9886926474677489E-2</v>
      </c>
      <c r="E25" s="22">
        <f>IF('Raw Data (0-4 Scores)'!L25='Analysis Settings'!$F$17,'Analysis Settings'!$B$9,1/(1+EXP(-'Analysis Settings'!$B$8*IF('Raw Data (0-4 Scores)'!L25&gt;'Analysis Settings'!$F$17,('Raw Data (0-4 Scores)'!L25-'Analysis Settings'!$F$17)/('Analysis Settings'!$G$17-'Analysis Settings'!$F$17),('Raw Data (0-4 Scores)'!L25-'Analysis Settings'!$F$17)/('Analysis Settings'!$F$17-'Analysis Settings'!$E$17)))))</f>
        <v>0.19111597627794122</v>
      </c>
      <c r="F25" s="22">
        <f>IF('Raw Data (0-4 Scores)'!M25='Analysis Settings'!$F$18,'Analysis Settings'!$B$9,1/(1+EXP(-'Analysis Settings'!$B$8*IF('Raw Data (0-4 Scores)'!M25&gt;'Analysis Settings'!$F$18,('Raw Data (0-4 Scores)'!M25-'Analysis Settings'!$F$18)/('Analysis Settings'!$G$18-'Analysis Settings'!$F$18),('Raw Data (0-4 Scores)'!M25-'Analysis Settings'!$F$18)/('Analysis Settings'!$F$18-'Analysis Settings'!$E$18)))))</f>
        <v>5.2872508278093353E-2</v>
      </c>
      <c r="G25" s="22">
        <f>IF('Raw Data (0-4 Scores)'!N25='Analysis Settings'!$F$19,'Analysis Settings'!$B$9,1/(1+EXP(-'Analysis Settings'!$B$8*IF('Raw Data (0-4 Scores)'!N25&gt;'Analysis Settings'!$F$19,('Raw Data (0-4 Scores)'!N25-'Analysis Settings'!$F$19)/('Analysis Settings'!$G$19-'Analysis Settings'!$F$19),('Raw Data (0-4 Scores)'!N25-'Analysis Settings'!$F$19)/('Analysis Settings'!$F$19-'Analysis Settings'!$E$19)))))</f>
        <v>0.16528191704798759</v>
      </c>
      <c r="H25" s="22">
        <f>IF('Raw Data (0-4 Scores)'!O25='Analysis Settings'!$F$20,'Analysis Settings'!$B$9,1/(1+EXP(-'Analysis Settings'!$B$8*IF('Raw Data (0-4 Scores)'!O25&gt;'Analysis Settings'!$F$20,('Raw Data (0-4 Scores)'!O25-'Analysis Settings'!$F$20)/('Analysis Settings'!$G$20-'Analysis Settings'!$F$20),('Raw Data (0-4 Scores)'!O25-'Analysis Settings'!$F$20)/('Analysis Settings'!$F$20-'Analysis Settings'!$E$20)))))</f>
        <v>0.96435228628487957</v>
      </c>
      <c r="I25" s="22">
        <f>IF('Raw Data (0-4 Scores)'!P25='Analysis Settings'!$F$21,'Analysis Settings'!$B$9,1/(1+EXP(-'Analysis Settings'!$B$8*IF('Raw Data (0-4 Scores)'!P25&gt;'Analysis Settings'!$F$21,('Raw Data (0-4 Scores)'!P25-'Analysis Settings'!$F$21)/('Analysis Settings'!$G$21-'Analysis Settings'!$F$21),('Raw Data (0-4 Scores)'!P25-'Analysis Settings'!$F$21)/('Analysis Settings'!$F$21-'Analysis Settings'!$E$21)))))</f>
        <v>0.92225078567327123</v>
      </c>
      <c r="J25" s="22">
        <f t="shared" si="0"/>
        <v>7.7749214326728766E-2</v>
      </c>
    </row>
    <row r="26" spans="1:10" ht="15" customHeight="1" x14ac:dyDescent="0.3">
      <c r="A26" s="20" t="str">
        <f>'Raw Data (0-4 Scores)'!A26</f>
        <v>GlobalFoundries</v>
      </c>
      <c r="B26" s="20">
        <f>'Raw Data (0-4 Scores)'!E26</f>
        <v>2023</v>
      </c>
      <c r="C26" s="22">
        <f>IF('Raw Data (0-4 Scores)'!J26='Analysis Settings'!$F$15,'Analysis Settings'!$B$9,1/(1+EXP(-'Analysis Settings'!$B$8*IF('Raw Data (0-4 Scores)'!J26&gt;'Analysis Settings'!$F$15,('Raw Data (0-4 Scores)'!J26-'Analysis Settings'!$F$15)/('Analysis Settings'!$G$15-'Analysis Settings'!$F$15),('Raw Data (0-4 Scores)'!J26-'Analysis Settings'!$F$15)/('Analysis Settings'!$F$15-'Analysis Settings'!$E$15)))))</f>
        <v>0.12854498369787987</v>
      </c>
      <c r="D26" s="22">
        <f>IF('Raw Data (0-4 Scores)'!K26='Analysis Settings'!$F$16,'Analysis Settings'!$B$9,1/(1+EXP(-'Analysis Settings'!$B$8*IF('Raw Data (0-4 Scores)'!K26&gt;'Analysis Settings'!$F$16,('Raw Data (0-4 Scores)'!K26-'Analysis Settings'!$F$16)/('Analysis Settings'!$G$16-'Analysis Settings'!$F$16),('Raw Data (0-4 Scores)'!K26-'Analysis Settings'!$F$16)/('Analysis Settings'!$F$16-'Analysis Settings'!$E$16)))))</f>
        <v>3.2732556729938203E-2</v>
      </c>
      <c r="E26" s="22">
        <f>IF('Raw Data (0-4 Scores)'!L26='Analysis Settings'!$F$17,'Analysis Settings'!$B$9,1/(1+EXP(-'Analysis Settings'!$B$8*IF('Raw Data (0-4 Scores)'!L26&gt;'Analysis Settings'!$F$17,('Raw Data (0-4 Scores)'!L26-'Analysis Settings'!$F$17)/('Analysis Settings'!$G$17-'Analysis Settings'!$F$17),('Raw Data (0-4 Scores)'!L26-'Analysis Settings'!$F$17)/('Analysis Settings'!$F$17-'Analysis Settings'!$E$17)))))</f>
        <v>0.51471794179339414</v>
      </c>
      <c r="F26" s="22">
        <f>IF('Raw Data (0-4 Scores)'!M26='Analysis Settings'!$F$18,'Analysis Settings'!$B$9,1/(1+EXP(-'Analysis Settings'!$B$8*IF('Raw Data (0-4 Scores)'!M26&gt;'Analysis Settings'!$F$18,('Raw Data (0-4 Scores)'!M26-'Analysis Settings'!$F$18)/('Analysis Settings'!$G$18-'Analysis Settings'!$F$18),('Raw Data (0-4 Scores)'!M26-'Analysis Settings'!$F$18)/('Analysis Settings'!$F$18-'Analysis Settings'!$E$18)))))</f>
        <v>0.27454878407708211</v>
      </c>
      <c r="G26" s="22">
        <f>IF('Raw Data (0-4 Scores)'!N26='Analysis Settings'!$F$19,'Analysis Settings'!$B$9,1/(1+EXP(-'Analysis Settings'!$B$8*IF('Raw Data (0-4 Scores)'!N26&gt;'Analysis Settings'!$F$19,('Raw Data (0-4 Scores)'!N26-'Analysis Settings'!$F$19)/('Analysis Settings'!$G$19-'Analysis Settings'!$F$19),('Raw Data (0-4 Scores)'!N26-'Analysis Settings'!$F$19)/('Analysis Settings'!$F$19-'Analysis Settings'!$E$19)))))</f>
        <v>0.35016086473629304</v>
      </c>
      <c r="H26" s="22">
        <f>IF('Raw Data (0-4 Scores)'!O26='Analysis Settings'!$F$20,'Analysis Settings'!$B$9,1/(1+EXP(-'Analysis Settings'!$B$8*IF('Raw Data (0-4 Scores)'!O26&gt;'Analysis Settings'!$F$20,('Raw Data (0-4 Scores)'!O26-'Analysis Settings'!$F$20)/('Analysis Settings'!$G$20-'Analysis Settings'!$F$20),('Raw Data (0-4 Scores)'!O26-'Analysis Settings'!$F$20)/('Analysis Settings'!$F$20-'Analysis Settings'!$E$20)))))</f>
        <v>0.9954511578525308</v>
      </c>
      <c r="I26" s="22">
        <f>IF('Raw Data (0-4 Scores)'!P26='Analysis Settings'!$F$21,'Analysis Settings'!$B$9,1/(1+EXP(-'Analysis Settings'!$B$8*IF('Raw Data (0-4 Scores)'!P26&gt;'Analysis Settings'!$F$21,('Raw Data (0-4 Scores)'!P26-'Analysis Settings'!$F$21)/('Analysis Settings'!$G$21-'Analysis Settings'!$F$21),('Raw Data (0-4 Scores)'!P26-'Analysis Settings'!$F$21)/('Analysis Settings'!$F$21-'Analysis Settings'!$E$21)))))</f>
        <v>0.99159085810799641</v>
      </c>
      <c r="J26" s="22">
        <f t="shared" si="0"/>
        <v>8.409141892003591E-3</v>
      </c>
    </row>
    <row r="27" spans="1:10" ht="15" customHeight="1" x14ac:dyDescent="0.3">
      <c r="A27" s="20" t="str">
        <f>'Raw Data (0-4 Scores)'!A27</f>
        <v>GlobalFoundries</v>
      </c>
      <c r="B27" s="20">
        <f>'Raw Data (0-4 Scores)'!E27</f>
        <v>2024</v>
      </c>
      <c r="C27" s="22">
        <f>IF('Raw Data (0-4 Scores)'!J27='Analysis Settings'!$F$15,'Analysis Settings'!$B$9,1/(1+EXP(-'Analysis Settings'!$B$8*IF('Raw Data (0-4 Scores)'!J27&gt;'Analysis Settings'!$F$15,('Raw Data (0-4 Scores)'!J27-'Analysis Settings'!$F$15)/('Analysis Settings'!$G$15-'Analysis Settings'!$F$15),('Raw Data (0-4 Scores)'!J27-'Analysis Settings'!$F$15)/('Analysis Settings'!$F$15-'Analysis Settings'!$E$15)))))</f>
        <v>0.41257448944264608</v>
      </c>
      <c r="D27" s="22">
        <f>IF('Raw Data (0-4 Scores)'!K27='Analysis Settings'!$F$16,'Analysis Settings'!$B$9,1/(1+EXP(-'Analysis Settings'!$B$8*IF('Raw Data (0-4 Scores)'!K27&gt;'Analysis Settings'!$F$16,('Raw Data (0-4 Scores)'!K27-'Analysis Settings'!$F$16)/('Analysis Settings'!$G$16-'Analysis Settings'!$F$16),('Raw Data (0-4 Scores)'!K27-'Analysis Settings'!$F$16)/('Analysis Settings'!$F$16-'Analysis Settings'!$E$16)))))</f>
        <v>7.9886926474677489E-2</v>
      </c>
      <c r="E27" s="22">
        <f>IF('Raw Data (0-4 Scores)'!L27='Analysis Settings'!$F$17,'Analysis Settings'!$B$9,1/(1+EXP(-'Analysis Settings'!$B$8*IF('Raw Data (0-4 Scores)'!L27&gt;'Analysis Settings'!$F$17,('Raw Data (0-4 Scores)'!L27-'Analysis Settings'!$F$17)/('Analysis Settings'!$G$17-'Analysis Settings'!$F$17),('Raw Data (0-4 Scores)'!L27-'Analysis Settings'!$F$17)/('Analysis Settings'!$F$17-'Analysis Settings'!$E$17)))))</f>
        <v>0.5073605656718494</v>
      </c>
      <c r="F27" s="22">
        <f>IF('Raw Data (0-4 Scores)'!M27='Analysis Settings'!$F$18,'Analysis Settings'!$B$9,1/(1+EXP(-'Analysis Settings'!$B$8*IF('Raw Data (0-4 Scores)'!M27&gt;'Analysis Settings'!$F$18,('Raw Data (0-4 Scores)'!M27-'Analysis Settings'!$F$18)/('Analysis Settings'!$G$18-'Analysis Settings'!$F$18),('Raw Data (0-4 Scores)'!M27-'Analysis Settings'!$F$18)/('Analysis Settings'!$F$18-'Analysis Settings'!$E$18)))))</f>
        <v>0.60865589704650891</v>
      </c>
      <c r="G27" s="22">
        <f>IF('Raw Data (0-4 Scores)'!N27='Analysis Settings'!$F$19,'Analysis Settings'!$B$9,1/(1+EXP(-'Analysis Settings'!$B$8*IF('Raw Data (0-4 Scores)'!N27&gt;'Analysis Settings'!$F$19,('Raw Data (0-4 Scores)'!N27-'Analysis Settings'!$F$19)/('Analysis Settings'!$G$19-'Analysis Settings'!$F$19),('Raw Data (0-4 Scores)'!N27-'Analysis Settings'!$F$19)/('Analysis Settings'!$F$19-'Analysis Settings'!$E$19)))))</f>
        <v>0.53673915323893306</v>
      </c>
      <c r="H27" s="22">
        <f>IF('Raw Data (0-4 Scores)'!O27='Analysis Settings'!$F$20,'Analysis Settings'!$B$9,1/(1+EXP(-'Analysis Settings'!$B$8*IF('Raw Data (0-4 Scores)'!O27&gt;'Analysis Settings'!$F$20,('Raw Data (0-4 Scores)'!O27-'Analysis Settings'!$F$20)/('Analysis Settings'!$G$20-'Analysis Settings'!$F$20),('Raw Data (0-4 Scores)'!O27-'Analysis Settings'!$F$20)/('Analysis Settings'!$F$20-'Analysis Settings'!$E$20)))))</f>
        <v>0.9940790735558046</v>
      </c>
      <c r="I27" s="22">
        <f>IF('Raw Data (0-4 Scores)'!P27='Analysis Settings'!$F$21,'Analysis Settings'!$B$9,1/(1+EXP(-'Analysis Settings'!$B$8*IF('Raw Data (0-4 Scores)'!P27&gt;'Analysis Settings'!$F$21,('Raw Data (0-4 Scores)'!P27-'Analysis Settings'!$F$21)/('Analysis Settings'!$G$21-'Analysis Settings'!$F$21),('Raw Data (0-4 Scores)'!P27-'Analysis Settings'!$F$21)/('Analysis Settings'!$F$21-'Analysis Settings'!$E$21)))))</f>
        <v>0.99723756906077354</v>
      </c>
      <c r="J27" s="22">
        <f t="shared" si="0"/>
        <v>2.7624309392264568E-3</v>
      </c>
    </row>
    <row r="28" spans="1:10" ht="15" customHeight="1" x14ac:dyDescent="0.3">
      <c r="A28" s="20" t="str">
        <f>'Raw Data (0-4 Scores)'!A28</f>
        <v>GlobalFoundries</v>
      </c>
      <c r="B28" s="20">
        <f>'Raw Data (0-4 Scores)'!E28</f>
        <v>2025</v>
      </c>
      <c r="C28" s="22">
        <f>IF('Raw Data (0-4 Scores)'!J28='Analysis Settings'!$F$15,'Analysis Settings'!$B$9,1/(1+EXP(-'Analysis Settings'!$B$8*IF('Raw Data (0-4 Scores)'!J28&gt;'Analysis Settings'!$F$15,('Raw Data (0-4 Scores)'!J28-'Analysis Settings'!$F$15)/('Analysis Settings'!$G$15-'Analysis Settings'!$F$15),('Raw Data (0-4 Scores)'!J28-'Analysis Settings'!$F$15)/('Analysis Settings'!$F$15-'Analysis Settings'!$E$15)))))</f>
        <v>0.66311816366696197</v>
      </c>
      <c r="D28" s="22">
        <f>IF('Raw Data (0-4 Scores)'!K28='Analysis Settings'!$F$16,'Analysis Settings'!$B$9,1/(1+EXP(-'Analysis Settings'!$B$8*IF('Raw Data (0-4 Scores)'!K28&gt;'Analysis Settings'!$F$16,('Raw Data (0-4 Scores)'!K28-'Analysis Settings'!$F$16)/('Analysis Settings'!$G$16-'Analysis Settings'!$F$16),('Raw Data (0-4 Scores)'!K28-'Analysis Settings'!$F$16)/('Analysis Settings'!$F$16-'Analysis Settings'!$E$16)))))</f>
        <v>0.13876898970461821</v>
      </c>
      <c r="E28" s="22">
        <f>IF('Raw Data (0-4 Scores)'!L28='Analysis Settings'!$F$17,'Analysis Settings'!$B$9,1/(1+EXP(-'Analysis Settings'!$B$8*IF('Raw Data (0-4 Scores)'!L28&gt;'Analysis Settings'!$F$17,('Raw Data (0-4 Scores)'!L28-'Analysis Settings'!$F$17)/('Analysis Settings'!$G$17-'Analysis Settings'!$F$17),('Raw Data (0-4 Scores)'!L28-'Analysis Settings'!$F$17)/('Analysis Settings'!$F$17-'Analysis Settings'!$E$17)))))</f>
        <v>0.78508563437356738</v>
      </c>
      <c r="F28" s="22">
        <f>IF('Raw Data (0-4 Scores)'!M28='Analysis Settings'!$F$18,'Analysis Settings'!$B$9,1/(1+EXP(-'Analysis Settings'!$B$8*IF('Raw Data (0-4 Scores)'!M28&gt;'Analysis Settings'!$F$18,('Raw Data (0-4 Scores)'!M28-'Analysis Settings'!$F$18)/('Analysis Settings'!$G$18-'Analysis Settings'!$F$18),('Raw Data (0-4 Scores)'!M28-'Analysis Settings'!$F$18)/('Analysis Settings'!$F$18-'Analysis Settings'!$E$18)))))</f>
        <v>0.69517863274349834</v>
      </c>
      <c r="G28" s="22">
        <f>IF('Raw Data (0-4 Scores)'!N28='Analysis Settings'!$F$19,'Analysis Settings'!$B$9,1/(1+EXP(-'Analysis Settings'!$B$8*IF('Raw Data (0-4 Scores)'!N28&gt;'Analysis Settings'!$F$19,('Raw Data (0-4 Scores)'!N28-'Analysis Settings'!$F$19)/('Analysis Settings'!$G$19-'Analysis Settings'!$F$19),('Raw Data (0-4 Scores)'!N28-'Analysis Settings'!$F$19)/('Analysis Settings'!$F$19-'Analysis Settings'!$E$19)))))</f>
        <v>0.63632374540102199</v>
      </c>
      <c r="H28" s="22">
        <f>IF('Raw Data (0-4 Scores)'!O28='Analysis Settings'!$F$20,'Analysis Settings'!$B$9,1/(1+EXP(-'Analysis Settings'!$B$8*IF('Raw Data (0-4 Scores)'!O28&gt;'Analysis Settings'!$F$20,('Raw Data (0-4 Scores)'!O28-'Analysis Settings'!$F$20)/('Analysis Settings'!$G$20-'Analysis Settings'!$F$20),('Raw Data (0-4 Scores)'!O28-'Analysis Settings'!$F$20)/('Analysis Settings'!$F$20-'Analysis Settings'!$E$20)))))</f>
        <v>0.99723756906077354</v>
      </c>
      <c r="I28" s="22">
        <f>IF('Raw Data (0-4 Scores)'!P28='Analysis Settings'!$F$21,'Analysis Settings'!$B$9,1/(1+EXP(-'Analysis Settings'!$B$8*IF('Raw Data (0-4 Scores)'!P28&gt;'Analysis Settings'!$F$21,('Raw Data (0-4 Scores)'!P28-'Analysis Settings'!$F$21)/('Analysis Settings'!$G$21-'Analysis Settings'!$F$21),('Raw Data (0-4 Scores)'!P28-'Analysis Settings'!$F$21)/('Analysis Settings'!$F$21-'Analysis Settings'!$E$21)))))</f>
        <v>0.99723756906077354</v>
      </c>
      <c r="J28" s="22">
        <f t="shared" si="0"/>
        <v>2.7624309392264568E-3</v>
      </c>
    </row>
    <row r="29" spans="1:10" ht="15" customHeight="1" x14ac:dyDescent="0.3">
      <c r="A29" s="20" t="str">
        <f>'Raw Data (0-4 Scores)'!A29</f>
        <v>Hana Micron</v>
      </c>
      <c r="B29" s="20">
        <f>'Raw Data (0-4 Scores)'!E29</f>
        <v>2023</v>
      </c>
      <c r="C29" s="22">
        <f>IF('Raw Data (0-4 Scores)'!J29='Analysis Settings'!$F$15,'Analysis Settings'!$B$9,1/(1+EXP(-'Analysis Settings'!$B$8*IF('Raw Data (0-4 Scores)'!J29&gt;'Analysis Settings'!$F$15,('Raw Data (0-4 Scores)'!J29-'Analysis Settings'!$F$15)/('Analysis Settings'!$G$15-'Analysis Settings'!$F$15),('Raw Data (0-4 Scores)'!J29-'Analysis Settings'!$F$15)/('Analysis Settings'!$F$15-'Analysis Settings'!$E$15)))))</f>
        <v>3.9285629527093325E-3</v>
      </c>
      <c r="D29" s="22">
        <f>IF('Raw Data (0-4 Scores)'!K29='Analysis Settings'!$F$16,'Analysis Settings'!$B$9,1/(1+EXP(-'Analysis Settings'!$B$8*IF('Raw Data (0-4 Scores)'!K29&gt;'Analysis Settings'!$F$16,('Raw Data (0-4 Scores)'!K29-'Analysis Settings'!$F$16)/('Analysis Settings'!$G$16-'Analysis Settings'!$F$16),('Raw Data (0-4 Scores)'!K29-'Analysis Settings'!$F$16)/('Analysis Settings'!$F$16-'Analysis Settings'!$E$16)))))</f>
        <v>1.2282586883095021E-2</v>
      </c>
      <c r="E29" s="22">
        <f>IF('Raw Data (0-4 Scores)'!L29='Analysis Settings'!$F$17,'Analysis Settings'!$B$9,1/(1+EXP(-'Analysis Settings'!$B$8*IF('Raw Data (0-4 Scores)'!L29&gt;'Analysis Settings'!$F$17,('Raw Data (0-4 Scores)'!L29-'Analysis Settings'!$F$17)/('Analysis Settings'!$G$17-'Analysis Settings'!$F$17),('Raw Data (0-4 Scores)'!L29-'Analysis Settings'!$F$17)/('Analysis Settings'!$F$17-'Analysis Settings'!$E$17)))))</f>
        <v>0.85767447660296903</v>
      </c>
      <c r="F29" s="22">
        <f>IF('Raw Data (0-4 Scores)'!M29='Analysis Settings'!$F$18,'Analysis Settings'!$B$9,1/(1+EXP(-'Analysis Settings'!$B$8*IF('Raw Data (0-4 Scores)'!M29&gt;'Analysis Settings'!$F$18,('Raw Data (0-4 Scores)'!M29-'Analysis Settings'!$F$18)/('Analysis Settings'!$G$18-'Analysis Settings'!$F$18),('Raw Data (0-4 Scores)'!M29-'Analysis Settings'!$F$18)/('Analysis Settings'!$F$18-'Analysis Settings'!$E$18)))))</f>
        <v>3.7728426710073037E-2</v>
      </c>
      <c r="G29" s="22">
        <f>IF('Raw Data (0-4 Scores)'!N29='Analysis Settings'!$F$19,'Analysis Settings'!$B$9,1/(1+EXP(-'Analysis Settings'!$B$8*IF('Raw Data (0-4 Scores)'!N29&gt;'Analysis Settings'!$F$19,('Raw Data (0-4 Scores)'!N29-'Analysis Settings'!$F$19)/('Analysis Settings'!$G$19-'Analysis Settings'!$F$19),('Raw Data (0-4 Scores)'!N29-'Analysis Settings'!$F$19)/('Analysis Settings'!$F$19-'Analysis Settings'!$E$19)))))</f>
        <v>1.8433273496656633E-2</v>
      </c>
      <c r="H29" s="22">
        <f>IF('Raw Data (0-4 Scores)'!O29='Analysis Settings'!$F$20,'Analysis Settings'!$B$9,1/(1+EXP(-'Analysis Settings'!$B$8*IF('Raw Data (0-4 Scores)'!O29&gt;'Analysis Settings'!$F$20,('Raw Data (0-4 Scores)'!O29-'Analysis Settings'!$F$20)/('Analysis Settings'!$G$20-'Analysis Settings'!$F$20),('Raw Data (0-4 Scores)'!O29-'Analysis Settings'!$F$20)/('Analysis Settings'!$F$20-'Analysis Settings'!$E$20)))))</f>
        <v>0.31744161997163201</v>
      </c>
      <c r="I29" s="22">
        <f>IF('Raw Data (0-4 Scores)'!P29='Analysis Settings'!$F$21,'Analysis Settings'!$B$9,1/(1+EXP(-'Analysis Settings'!$B$8*IF('Raw Data (0-4 Scores)'!P29&gt;'Analysis Settings'!$F$21,('Raw Data (0-4 Scores)'!P29-'Analysis Settings'!$F$21)/('Analysis Settings'!$G$21-'Analysis Settings'!$F$21),('Raw Data (0-4 Scores)'!P29-'Analysis Settings'!$F$21)/('Analysis Settings'!$F$21-'Analysis Settings'!$E$21)))))</f>
        <v>1.4621284503620189E-2</v>
      </c>
      <c r="J29" s="22">
        <f t="shared" si="0"/>
        <v>1.4621284503620189E-2</v>
      </c>
    </row>
    <row r="30" spans="1:10" ht="15" customHeight="1" x14ac:dyDescent="0.3">
      <c r="A30" s="20" t="str">
        <f>'Raw Data (0-4 Scores)'!A30</f>
        <v>Hana Micron</v>
      </c>
      <c r="B30" s="20">
        <f>'Raw Data (0-4 Scores)'!E30</f>
        <v>2024</v>
      </c>
      <c r="C30" s="22">
        <f>IF('Raw Data (0-4 Scores)'!J30='Analysis Settings'!$F$15,'Analysis Settings'!$B$9,1/(1+EXP(-'Analysis Settings'!$B$8*IF('Raw Data (0-4 Scores)'!J30&gt;'Analysis Settings'!$F$15,('Raw Data (0-4 Scores)'!J30-'Analysis Settings'!$F$15)/('Analysis Settings'!$G$15-'Analysis Settings'!$F$15),('Raw Data (0-4 Scores)'!J30-'Analysis Settings'!$F$15)/('Analysis Settings'!$F$15-'Analysis Settings'!$E$15)))))</f>
        <v>7.1646923729970266E-2</v>
      </c>
      <c r="D30" s="22">
        <f>IF('Raw Data (0-4 Scores)'!K30='Analysis Settings'!$F$16,'Analysis Settings'!$B$9,1/(1+EXP(-'Analysis Settings'!$B$8*IF('Raw Data (0-4 Scores)'!K30&gt;'Analysis Settings'!$F$16,('Raw Data (0-4 Scores)'!K30-'Analysis Settings'!$F$16)/('Analysis Settings'!$G$16-'Analysis Settings'!$F$16),('Raw Data (0-4 Scores)'!K30-'Analysis Settings'!$F$16)/('Analysis Settings'!$F$16-'Analysis Settings'!$E$16)))))</f>
        <v>5.4366556969581412E-2</v>
      </c>
      <c r="E30" s="22">
        <f>IF('Raw Data (0-4 Scores)'!L30='Analysis Settings'!$F$17,'Analysis Settings'!$B$9,1/(1+EXP(-'Analysis Settings'!$B$8*IF('Raw Data (0-4 Scores)'!L30&gt;'Analysis Settings'!$F$17,('Raw Data (0-4 Scores)'!L30-'Analysis Settings'!$F$17)/('Analysis Settings'!$G$17-'Analysis Settings'!$F$17),('Raw Data (0-4 Scores)'!L30-'Analysis Settings'!$F$17)/('Analysis Settings'!$F$17-'Analysis Settings'!$E$17)))))</f>
        <v>0.95775497238114526</v>
      </c>
      <c r="F30" s="22">
        <f>IF('Raw Data (0-4 Scores)'!M30='Analysis Settings'!$F$18,'Analysis Settings'!$B$9,1/(1+EXP(-'Analysis Settings'!$B$8*IF('Raw Data (0-4 Scores)'!M30&gt;'Analysis Settings'!$F$18,('Raw Data (0-4 Scores)'!M30-'Analysis Settings'!$F$18)/('Analysis Settings'!$G$18-'Analysis Settings'!$F$18),('Raw Data (0-4 Scores)'!M30-'Analysis Settings'!$F$18)/('Analysis Settings'!$F$18-'Analysis Settings'!$E$18)))))</f>
        <v>3.8812076660729729E-2</v>
      </c>
      <c r="G30" s="22">
        <f>IF('Raw Data (0-4 Scores)'!N30='Analysis Settings'!$F$19,'Analysis Settings'!$B$9,1/(1+EXP(-'Analysis Settings'!$B$8*IF('Raw Data (0-4 Scores)'!N30&gt;'Analysis Settings'!$F$19,('Raw Data (0-4 Scores)'!N30-'Analysis Settings'!$F$19)/('Analysis Settings'!$G$19-'Analysis Settings'!$F$19),('Raw Data (0-4 Scores)'!N30-'Analysis Settings'!$F$19)/('Analysis Settings'!$F$19-'Analysis Settings'!$E$19)))))</f>
        <v>5.4366556969581412E-2</v>
      </c>
      <c r="H30" s="22">
        <f>IF('Raw Data (0-4 Scores)'!O30='Analysis Settings'!$F$20,'Analysis Settings'!$B$9,1/(1+EXP(-'Analysis Settings'!$B$8*IF('Raw Data (0-4 Scores)'!O30&gt;'Analysis Settings'!$F$20,('Raw Data (0-4 Scores)'!O30-'Analysis Settings'!$F$20)/('Analysis Settings'!$G$20-'Analysis Settings'!$F$20),('Raw Data (0-4 Scores)'!O30-'Analysis Settings'!$F$20)/('Analysis Settings'!$F$20-'Analysis Settings'!$E$20)))))</f>
        <v>0.60865589704650891</v>
      </c>
      <c r="I30" s="22">
        <f>IF('Raw Data (0-4 Scores)'!P30='Analysis Settings'!$F$21,'Analysis Settings'!$B$9,1/(1+EXP(-'Analysis Settings'!$B$8*IF('Raw Data (0-4 Scores)'!P30&gt;'Analysis Settings'!$F$21,('Raw Data (0-4 Scores)'!P30-'Analysis Settings'!$F$21)/('Analysis Settings'!$G$21-'Analysis Settings'!$F$21),('Raw Data (0-4 Scores)'!P30-'Analysis Settings'!$F$21)/('Analysis Settings'!$F$21-'Analysis Settings'!$E$21)))))</f>
        <v>7.5664001658437882E-2</v>
      </c>
      <c r="J30" s="22">
        <f t="shared" si="0"/>
        <v>7.5664001658437882E-2</v>
      </c>
    </row>
    <row r="31" spans="1:10" ht="15" customHeight="1" x14ac:dyDescent="0.3">
      <c r="A31" s="20" t="str">
        <f>'Raw Data (0-4 Scores)'!A31</f>
        <v>Hana Micron</v>
      </c>
      <c r="B31" s="20">
        <f>'Raw Data (0-4 Scores)'!E31</f>
        <v>2025</v>
      </c>
      <c r="C31" s="22">
        <f>IF('Raw Data (0-4 Scores)'!J31='Analysis Settings'!$F$15,'Analysis Settings'!$B$9,1/(1+EXP(-'Analysis Settings'!$B$8*IF('Raw Data (0-4 Scores)'!J31&gt;'Analysis Settings'!$F$15,('Raw Data (0-4 Scores)'!J31-'Analysis Settings'!$F$15)/('Analysis Settings'!$G$15-'Analysis Settings'!$F$15),('Raw Data (0-4 Scores)'!J31-'Analysis Settings'!$F$15)/('Analysis Settings'!$F$15-'Analysis Settings'!$E$15)))))</f>
        <v>4.1069623649044353E-2</v>
      </c>
      <c r="D31" s="22">
        <f>IF('Raw Data (0-4 Scores)'!K31='Analysis Settings'!$F$16,'Analysis Settings'!$B$9,1/(1+EXP(-'Analysis Settings'!$B$8*IF('Raw Data (0-4 Scores)'!K31&gt;'Analysis Settings'!$F$16,('Raw Data (0-4 Scores)'!K31-'Analysis Settings'!$F$16)/('Analysis Settings'!$G$16-'Analysis Settings'!$F$16),('Raw Data (0-4 Scores)'!K31-'Analysis Settings'!$F$16)/('Analysis Settings'!$F$16-'Analysis Settings'!$E$16)))))</f>
        <v>7.5664001658437882E-2</v>
      </c>
      <c r="E31" s="22">
        <f>IF('Raw Data (0-4 Scores)'!L31='Analysis Settings'!$F$17,'Analysis Settings'!$B$9,1/(1+EXP(-'Analysis Settings'!$B$8*IF('Raw Data (0-4 Scores)'!L31&gt;'Analysis Settings'!$F$17,('Raw Data (0-4 Scores)'!L31-'Analysis Settings'!$F$17)/('Analysis Settings'!$G$17-'Analysis Settings'!$F$17),('Raw Data (0-4 Scores)'!L31-'Analysis Settings'!$F$17)/('Analysis Settings'!$F$17-'Analysis Settings'!$E$17)))))</f>
        <v>0.93925077876486562</v>
      </c>
      <c r="F31" s="22">
        <f>IF('Raw Data (0-4 Scores)'!M31='Analysis Settings'!$F$18,'Analysis Settings'!$B$9,1/(1+EXP(-'Analysis Settings'!$B$8*IF('Raw Data (0-4 Scores)'!M31&gt;'Analysis Settings'!$F$18,('Raw Data (0-4 Scores)'!M31-'Analysis Settings'!$F$18)/('Analysis Settings'!$G$18-'Analysis Settings'!$F$18),('Raw Data (0-4 Scores)'!M31-'Analysis Settings'!$F$18)/('Analysis Settings'!$F$18-'Analysis Settings'!$E$18)))))</f>
        <v>0.25172328845138858</v>
      </c>
      <c r="G31" s="22">
        <f>IF('Raw Data (0-4 Scores)'!N31='Analysis Settings'!$F$19,'Analysis Settings'!$B$9,1/(1+EXP(-'Analysis Settings'!$B$8*IF('Raw Data (0-4 Scores)'!N31&gt;'Analysis Settings'!$F$19,('Raw Data (0-4 Scores)'!N31-'Analysis Settings'!$F$19)/('Analysis Settings'!$G$19-'Analysis Settings'!$F$19),('Raw Data (0-4 Scores)'!N31-'Analysis Settings'!$F$19)/('Analysis Settings'!$F$19-'Analysis Settings'!$E$19)))))</f>
        <v>6.4197542640305805E-2</v>
      </c>
      <c r="H31" s="22">
        <f>IF('Raw Data (0-4 Scores)'!O31='Analysis Settings'!$F$20,'Analysis Settings'!$B$9,1/(1+EXP(-'Analysis Settings'!$B$8*IF('Raw Data (0-4 Scores)'!O31&gt;'Analysis Settings'!$F$20,('Raw Data (0-4 Scores)'!O31-'Analysis Settings'!$F$20)/('Analysis Settings'!$G$20-'Analysis Settings'!$F$20),('Raw Data (0-4 Scores)'!O31-'Analysis Settings'!$F$20)/('Analysis Settings'!$F$20-'Analysis Settings'!$E$20)))))</f>
        <v>0.51471794179339414</v>
      </c>
      <c r="I31" s="22">
        <f>IF('Raw Data (0-4 Scores)'!P31='Analysis Settings'!$F$21,'Analysis Settings'!$B$9,1/(1+EXP(-'Analysis Settings'!$B$8*IF('Raw Data (0-4 Scores)'!P31&gt;'Analysis Settings'!$F$21,('Raw Data (0-4 Scores)'!P31-'Analysis Settings'!$F$21)/('Analysis Settings'!$G$21-'Analysis Settings'!$F$21),('Raw Data (0-4 Scores)'!P31-'Analysis Settings'!$F$21)/('Analysis Settings'!$F$21-'Analysis Settings'!$E$21)))))</f>
        <v>5.7474747740164214E-2</v>
      </c>
      <c r="J31" s="22">
        <f t="shared" si="0"/>
        <v>5.7474747740164214E-2</v>
      </c>
    </row>
    <row r="32" spans="1:10" ht="15" customHeight="1" x14ac:dyDescent="0.3">
      <c r="A32" s="20" t="str">
        <f>'Raw Data (0-4 Scores)'!A32</f>
        <v>Himax Technologies</v>
      </c>
      <c r="B32" s="20">
        <f>'Raw Data (0-4 Scores)'!E32</f>
        <v>2023</v>
      </c>
      <c r="C32" s="22">
        <f>IF('Raw Data (0-4 Scores)'!J32='Analysis Settings'!$F$15,'Analysis Settings'!$B$9,1/(1+EXP(-'Analysis Settings'!$B$8*IF('Raw Data (0-4 Scores)'!J32&gt;'Analysis Settings'!$F$15,('Raw Data (0-4 Scores)'!J32-'Analysis Settings'!$F$15)/('Analysis Settings'!$G$15-'Analysis Settings'!$F$15),('Raw Data (0-4 Scores)'!J32-'Analysis Settings'!$F$15)/('Analysis Settings'!$F$15-'Analysis Settings'!$E$15)))))</f>
        <v>0.78508563437356738</v>
      </c>
      <c r="D32" s="22">
        <f>IF('Raw Data (0-4 Scores)'!K32='Analysis Settings'!$F$16,'Analysis Settings'!$B$9,1/(1+EXP(-'Analysis Settings'!$B$8*IF('Raw Data (0-4 Scores)'!K32&gt;'Analysis Settings'!$F$16,('Raw Data (0-4 Scores)'!K32-'Analysis Settings'!$F$16)/('Analysis Settings'!$G$16-'Analysis Settings'!$F$16),('Raw Data (0-4 Scores)'!K32-'Analysis Settings'!$F$16)/('Analysis Settings'!$F$16-'Analysis Settings'!$E$16)))))</f>
        <v>3.1813031519377311E-2</v>
      </c>
      <c r="E32" s="22">
        <f>IF('Raw Data (0-4 Scores)'!L32='Analysis Settings'!$F$17,'Analysis Settings'!$B$9,1/(1+EXP(-'Analysis Settings'!$B$8*IF('Raw Data (0-4 Scores)'!L32&gt;'Analysis Settings'!$F$17,('Raw Data (0-4 Scores)'!L32-'Analysis Settings'!$F$17)/('Analysis Settings'!$G$17-'Analysis Settings'!$F$17),('Raw Data (0-4 Scores)'!L32-'Analysis Settings'!$F$17)/('Analysis Settings'!$F$17-'Analysis Settings'!$E$17)))))</f>
        <v>1.739744435312152E-2</v>
      </c>
      <c r="F32" s="22">
        <f>IF('Raw Data (0-4 Scores)'!M32='Analysis Settings'!$F$18,'Analysis Settings'!$B$9,1/(1+EXP(-'Analysis Settings'!$B$8*IF('Raw Data (0-4 Scores)'!M32&gt;'Analysis Settings'!$F$18,('Raw Data (0-4 Scores)'!M32-'Analysis Settings'!$F$18)/('Analysis Settings'!$G$18-'Analysis Settings'!$F$18),('Raw Data (0-4 Scores)'!M32-'Analysis Settings'!$F$18)/('Analysis Settings'!$F$18-'Analysis Settings'!$E$18)))))</f>
        <v>4.7275762366902646E-2</v>
      </c>
      <c r="G32" s="22">
        <f>IF('Raw Data (0-4 Scores)'!N32='Analysis Settings'!$F$19,'Analysis Settings'!$B$9,1/(1+EXP(-'Analysis Settings'!$B$8*IF('Raw Data (0-4 Scores)'!N32&gt;'Analysis Settings'!$F$19,('Raw Data (0-4 Scores)'!N32-'Analysis Settings'!$F$19)/('Analysis Settings'!$G$19-'Analysis Settings'!$F$19),('Raw Data (0-4 Scores)'!N32-'Analysis Settings'!$F$19)/('Analysis Settings'!$F$19-'Analysis Settings'!$E$19)))))</f>
        <v>0.40545727719757751</v>
      </c>
      <c r="H32" s="22">
        <f>IF('Raw Data (0-4 Scores)'!O32='Analysis Settings'!$F$20,'Analysis Settings'!$B$9,1/(1+EXP(-'Analysis Settings'!$B$8*IF('Raw Data (0-4 Scores)'!O32&gt;'Analysis Settings'!$F$20,('Raw Data (0-4 Scores)'!O32-'Analysis Settings'!$F$20)/('Analysis Settings'!$G$20-'Analysis Settings'!$F$20),('Raw Data (0-4 Scores)'!O32-'Analysis Settings'!$F$20)/('Analysis Settings'!$F$20-'Analysis Settings'!$E$20)))))</f>
        <v>0.93754882943765827</v>
      </c>
      <c r="I32" s="22">
        <f>IF('Raw Data (0-4 Scores)'!P32='Analysis Settings'!$F$21,'Analysis Settings'!$B$9,1/(1+EXP(-'Analysis Settings'!$B$8*IF('Raw Data (0-4 Scores)'!P32&gt;'Analysis Settings'!$F$21,('Raw Data (0-4 Scores)'!P32-'Analysis Settings'!$F$21)/('Analysis Settings'!$G$21-'Analysis Settings'!$F$21),('Raw Data (0-4 Scores)'!P32-'Analysis Settings'!$F$21)/('Analysis Settings'!$F$21-'Analysis Settings'!$E$21)))))</f>
        <v>0.15345258217855393</v>
      </c>
      <c r="J32" s="22">
        <f t="shared" si="0"/>
        <v>0.15345258217855393</v>
      </c>
    </row>
    <row r="33" spans="1:10" ht="15" customHeight="1" x14ac:dyDescent="0.3">
      <c r="A33" s="20" t="str">
        <f>'Raw Data (0-4 Scores)'!A33</f>
        <v>Himax Technologies</v>
      </c>
      <c r="B33" s="20">
        <f>'Raw Data (0-4 Scores)'!E33</f>
        <v>2024</v>
      </c>
      <c r="C33" s="22">
        <f>IF('Raw Data (0-4 Scores)'!J33='Analysis Settings'!$F$15,'Analysis Settings'!$B$9,1/(1+EXP(-'Analysis Settings'!$B$8*IF('Raw Data (0-4 Scores)'!J33&gt;'Analysis Settings'!$F$15,('Raw Data (0-4 Scores)'!J33-'Analysis Settings'!$F$15)/('Analysis Settings'!$G$15-'Analysis Settings'!$F$15),('Raw Data (0-4 Scores)'!J33-'Analysis Settings'!$F$15)/('Analysis Settings'!$F$15-'Analysis Settings'!$E$15)))))</f>
        <v>0.95138022090573837</v>
      </c>
      <c r="D33" s="22">
        <f>IF('Raw Data (0-4 Scores)'!K33='Analysis Settings'!$F$16,'Analysis Settings'!$B$9,1/(1+EXP(-'Analysis Settings'!$B$8*IF('Raw Data (0-4 Scores)'!K33&gt;'Analysis Settings'!$F$16,('Raw Data (0-4 Scores)'!K33-'Analysis Settings'!$F$16)/('Analysis Settings'!$G$16-'Analysis Settings'!$F$16),('Raw Data (0-4 Scores)'!K33-'Analysis Settings'!$F$16)/('Analysis Settings'!$F$16-'Analysis Settings'!$E$16)))))</f>
        <v>3.2732556729938203E-2</v>
      </c>
      <c r="E33" s="22">
        <f>IF('Raw Data (0-4 Scores)'!L33='Analysis Settings'!$F$17,'Analysis Settings'!$B$9,1/(1+EXP(-'Analysis Settings'!$B$8*IF('Raw Data (0-4 Scores)'!L33&gt;'Analysis Settings'!$F$17,('Raw Data (0-4 Scores)'!L33-'Analysis Settings'!$F$17)/('Analysis Settings'!$G$17-'Analysis Settings'!$F$17),('Raw Data (0-4 Scores)'!L33-'Analysis Settings'!$F$17)/('Analysis Settings'!$F$17-'Analysis Settings'!$E$17)))))</f>
        <v>4.3452547062813859E-2</v>
      </c>
      <c r="F33" s="22">
        <f>IF('Raw Data (0-4 Scores)'!M33='Analysis Settings'!$F$18,'Analysis Settings'!$B$9,1/(1+EXP(-'Analysis Settings'!$B$8*IF('Raw Data (0-4 Scores)'!M33&gt;'Analysis Settings'!$F$18,('Raw Data (0-4 Scores)'!M33-'Analysis Settings'!$F$18)/('Analysis Settings'!$G$18-'Analysis Settings'!$F$18),('Raw Data (0-4 Scores)'!M33-'Analysis Settings'!$F$18)/('Analysis Settings'!$F$18-'Analysis Settings'!$E$18)))))</f>
        <v>6.5989312656379265E-2</v>
      </c>
      <c r="G33" s="22">
        <f>IF('Raw Data (0-4 Scores)'!N33='Analysis Settings'!$F$19,'Analysis Settings'!$B$9,1/(1+EXP(-'Analysis Settings'!$B$8*IF('Raw Data (0-4 Scores)'!N33&gt;'Analysis Settings'!$F$19,('Raw Data (0-4 Scores)'!N33-'Analysis Settings'!$F$19)/('Analysis Settings'!$G$19-'Analysis Settings'!$F$19),('Raw Data (0-4 Scores)'!N33-'Analysis Settings'!$F$19)/('Analysis Settings'!$F$19-'Analysis Settings'!$E$19)))))</f>
        <v>0.53673915323893306</v>
      </c>
      <c r="H33" s="22">
        <f>IF('Raw Data (0-4 Scores)'!O33='Analysis Settings'!$F$20,'Analysis Settings'!$B$9,1/(1+EXP(-'Analysis Settings'!$B$8*IF('Raw Data (0-4 Scores)'!O33&gt;'Analysis Settings'!$F$20,('Raw Data (0-4 Scores)'!O33-'Analysis Settings'!$F$20)/('Analysis Settings'!$G$20-'Analysis Settings'!$F$20),('Raw Data (0-4 Scores)'!O33-'Analysis Settings'!$F$20)/('Analysis Settings'!$F$20-'Analysis Settings'!$E$20)))))</f>
        <v>0.94858271488606616</v>
      </c>
      <c r="I33" s="22">
        <f>IF('Raw Data (0-4 Scores)'!P33='Analysis Settings'!$F$21,'Analysis Settings'!$B$9,1/(1+EXP(-'Analysis Settings'!$B$8*IF('Raw Data (0-4 Scores)'!P33&gt;'Analysis Settings'!$F$21,('Raw Data (0-4 Scores)'!P33-'Analysis Settings'!$F$21)/('Analysis Settings'!$G$21-'Analysis Settings'!$F$21),('Raw Data (0-4 Scores)'!P33-'Analysis Settings'!$F$21)/('Analysis Settings'!$F$21-'Analysis Settings'!$E$21)))))</f>
        <v>0.41972843571892698</v>
      </c>
      <c r="J33" s="22">
        <f t="shared" si="0"/>
        <v>0.41972843571892698</v>
      </c>
    </row>
    <row r="34" spans="1:10" ht="15" customHeight="1" x14ac:dyDescent="0.3">
      <c r="A34" s="20" t="str">
        <f>'Raw Data (0-4 Scores)'!A34</f>
        <v>Himax Technologies</v>
      </c>
      <c r="B34" s="20">
        <f>'Raw Data (0-4 Scores)'!E34</f>
        <v>2025</v>
      </c>
      <c r="C34" s="22">
        <f>IF('Raw Data (0-4 Scores)'!J34='Analysis Settings'!$F$15,'Analysis Settings'!$B$9,1/(1+EXP(-'Analysis Settings'!$B$8*IF('Raw Data (0-4 Scores)'!J34&gt;'Analysis Settings'!$F$15,('Raw Data (0-4 Scores)'!J34-'Analysis Settings'!$F$15)/('Analysis Settings'!$G$15-'Analysis Settings'!$F$15),('Raw Data (0-4 Scores)'!J34-'Analysis Settings'!$F$15)/('Analysis Settings'!$F$15-'Analysis Settings'!$E$15)))))</f>
        <v>0.97989859645363098</v>
      </c>
      <c r="D34" s="22">
        <f>IF('Raw Data (0-4 Scores)'!K34='Analysis Settings'!$F$16,'Analysis Settings'!$B$9,1/(1+EXP(-'Analysis Settings'!$B$8*IF('Raw Data (0-4 Scores)'!K34&gt;'Analysis Settings'!$F$16,('Raw Data (0-4 Scores)'!K34-'Analysis Settings'!$F$16)/('Analysis Settings'!$G$16-'Analysis Settings'!$F$16),('Raw Data (0-4 Scores)'!K34-'Analysis Settings'!$F$16)/('Analysis Settings'!$F$16-'Analysis Settings'!$E$16)))))</f>
        <v>0.18217749321889848</v>
      </c>
      <c r="E34" s="22">
        <f>IF('Raw Data (0-4 Scores)'!L34='Analysis Settings'!$F$17,'Analysis Settings'!$B$9,1/(1+EXP(-'Analysis Settings'!$B$8*IF('Raw Data (0-4 Scores)'!L34&gt;'Analysis Settings'!$F$17,('Raw Data (0-4 Scores)'!L34-'Analysis Settings'!$F$17)/('Analysis Settings'!$G$17-'Analysis Settings'!$F$17),('Raw Data (0-4 Scores)'!L34-'Analysis Settings'!$F$17)/('Analysis Settings'!$F$17-'Analysis Settings'!$E$17)))))</f>
        <v>9.9005010697117077E-2</v>
      </c>
      <c r="F34" s="22">
        <f>IF('Raw Data (0-4 Scores)'!M34='Analysis Settings'!$F$18,'Analysis Settings'!$B$9,1/(1+EXP(-'Analysis Settings'!$B$8*IF('Raw Data (0-4 Scores)'!M34&gt;'Analysis Settings'!$F$18,('Raw Data (0-4 Scores)'!M34-'Analysis Settings'!$F$18)/('Analysis Settings'!$G$18-'Analysis Settings'!$F$18),('Raw Data (0-4 Scores)'!M34-'Analysis Settings'!$F$18)/('Analysis Settings'!$F$18-'Analysis Settings'!$E$18)))))</f>
        <v>0.24079402783585596</v>
      </c>
      <c r="G34" s="22">
        <f>IF('Raw Data (0-4 Scores)'!N34='Analysis Settings'!$F$19,'Analysis Settings'!$B$9,1/(1+EXP(-'Analysis Settings'!$B$8*IF('Raw Data (0-4 Scores)'!N34&gt;'Analysis Settings'!$F$19,('Raw Data (0-4 Scores)'!N34-'Analysis Settings'!$F$19)/('Analysis Settings'!$G$19-'Analysis Settings'!$F$19),('Raw Data (0-4 Scores)'!N34-'Analysis Settings'!$F$19)/('Analysis Settings'!$F$19-'Analysis Settings'!$E$19)))))</f>
        <v>0.74827671154861142</v>
      </c>
      <c r="H34" s="22">
        <f>IF('Raw Data (0-4 Scores)'!O34='Analysis Settings'!$F$20,'Analysis Settings'!$B$9,1/(1+EXP(-'Analysis Settings'!$B$8*IF('Raw Data (0-4 Scores)'!O34&gt;'Analysis Settings'!$F$20,('Raw Data (0-4 Scores)'!O34-'Analysis Settings'!$F$20)/('Analysis Settings'!$G$20-'Analysis Settings'!$F$20),('Raw Data (0-4 Scores)'!O34-'Analysis Settings'!$F$20)/('Analysis Settings'!$F$20-'Analysis Settings'!$E$20)))))</f>
        <v>0.97541073597338135</v>
      </c>
      <c r="I34" s="22">
        <f>IF('Raw Data (0-4 Scores)'!P34='Analysis Settings'!$F$21,'Analysis Settings'!$B$9,1/(1+EXP(-'Analysis Settings'!$B$8*IF('Raw Data (0-4 Scores)'!P34&gt;'Analysis Settings'!$F$21,('Raw Data (0-4 Scores)'!P34-'Analysis Settings'!$F$21)/('Analysis Settings'!$G$21-'Analysis Settings'!$F$21),('Raw Data (0-4 Scores)'!P34-'Analysis Settings'!$F$21)/('Analysis Settings'!$F$21-'Analysis Settings'!$E$21)))))</f>
        <v>0.4413820109527673</v>
      </c>
      <c r="J34" s="22">
        <f t="shared" ref="J34:J65" si="1">MIN(I34,1-I34)</f>
        <v>0.4413820109527673</v>
      </c>
    </row>
    <row r="35" spans="1:10" ht="15" customHeight="1" x14ac:dyDescent="0.3">
      <c r="A35" s="20" t="str">
        <f>'Raw Data (0-4 Scores)'!A35</f>
        <v>Intel Corporation</v>
      </c>
      <c r="B35" s="20">
        <f>'Raw Data (0-4 Scores)'!E35</f>
        <v>2023</v>
      </c>
      <c r="C35" s="22">
        <f>IF('Raw Data (0-4 Scores)'!J35='Analysis Settings'!$F$15,'Analysis Settings'!$B$9,1/(1+EXP(-'Analysis Settings'!$B$8*IF('Raw Data (0-4 Scores)'!J35&gt;'Analysis Settings'!$F$15,('Raw Data (0-4 Scores)'!J35-'Analysis Settings'!$F$15)/('Analysis Settings'!$G$15-'Analysis Settings'!$F$15),('Raw Data (0-4 Scores)'!J35-'Analysis Settings'!$F$15)/('Analysis Settings'!$F$15-'Analysis Settings'!$E$15)))))</f>
        <v>0.85033348189262281</v>
      </c>
      <c r="D35" s="22">
        <f>IF('Raw Data (0-4 Scores)'!K35='Analysis Settings'!$F$16,'Analysis Settings'!$B$9,1/(1+EXP(-'Analysis Settings'!$B$8*IF('Raw Data (0-4 Scores)'!K35&gt;'Analysis Settings'!$F$16,('Raw Data (0-4 Scores)'!K35-'Analysis Settings'!$F$16)/('Analysis Settings'!$G$16-'Analysis Settings'!$F$16),('Raw Data (0-4 Scores)'!K35-'Analysis Settings'!$F$16)/('Analysis Settings'!$F$16-'Analysis Settings'!$E$16)))))</f>
        <v>0.94409966790709154</v>
      </c>
      <c r="E35" s="22">
        <f>IF('Raw Data (0-4 Scores)'!L35='Analysis Settings'!$F$17,'Analysis Settings'!$B$9,1/(1+EXP(-'Analysis Settings'!$B$8*IF('Raw Data (0-4 Scores)'!L35&gt;'Analysis Settings'!$F$17,('Raw Data (0-4 Scores)'!L35-'Analysis Settings'!$F$17)/('Analysis Settings'!$G$17-'Analysis Settings'!$F$17),('Raw Data (0-4 Scores)'!L35-'Analysis Settings'!$F$17)/('Analysis Settings'!$F$17-'Analysis Settings'!$E$17)))))</f>
        <v>0.99707049842023288</v>
      </c>
      <c r="F35" s="22">
        <f>IF('Raw Data (0-4 Scores)'!M35='Analysis Settings'!$F$18,'Analysis Settings'!$B$9,1/(1+EXP(-'Analysis Settings'!$B$8*IF('Raw Data (0-4 Scores)'!M35&gt;'Analysis Settings'!$F$18,('Raw Data (0-4 Scores)'!M35-'Analysis Settings'!$F$18)/('Analysis Settings'!$G$18-'Analysis Settings'!$F$18),('Raw Data (0-4 Scores)'!M35-'Analysis Settings'!$F$18)/('Analysis Settings'!$F$18-'Analysis Settings'!$E$18)))))</f>
        <v>0.85033348189262281</v>
      </c>
      <c r="G35" s="22">
        <f>IF('Raw Data (0-4 Scores)'!N35='Analysis Settings'!$F$19,'Analysis Settings'!$B$9,1/(1+EXP(-'Analysis Settings'!$B$8*IF('Raw Data (0-4 Scores)'!N35&gt;'Analysis Settings'!$F$19,('Raw Data (0-4 Scores)'!N35-'Analysis Settings'!$F$19)/('Analysis Settings'!$G$19-'Analysis Settings'!$F$19),('Raw Data (0-4 Scores)'!N35-'Analysis Settings'!$F$19)/('Analysis Settings'!$F$19-'Analysis Settings'!$E$19)))))</f>
        <v>0.84654741782144594</v>
      </c>
      <c r="H35" s="22">
        <f>IF('Raw Data (0-4 Scores)'!O35='Analysis Settings'!$F$20,'Analysis Settings'!$B$9,1/(1+EXP(-'Analysis Settings'!$B$8*IF('Raw Data (0-4 Scores)'!O35&gt;'Analysis Settings'!$F$20,('Raw Data (0-4 Scores)'!O35-'Analysis Settings'!$F$20)/('Analysis Settings'!$G$20-'Analysis Settings'!$F$20),('Raw Data (0-4 Scores)'!O35-'Analysis Settings'!$F$20)/('Analysis Settings'!$F$20-'Analysis Settings'!$E$20)))))</f>
        <v>0.99723756906077354</v>
      </c>
      <c r="I35" s="22">
        <f>IF('Raw Data (0-4 Scores)'!P35='Analysis Settings'!$F$21,'Analysis Settings'!$B$9,1/(1+EXP(-'Analysis Settings'!$B$8*IF('Raw Data (0-4 Scores)'!P35&gt;'Analysis Settings'!$F$21,('Raw Data (0-4 Scores)'!P35-'Analysis Settings'!$F$21)/('Analysis Settings'!$G$21-'Analysis Settings'!$F$21),('Raw Data (0-4 Scores)'!P35-'Analysis Settings'!$F$21)/('Analysis Settings'!$F$21-'Analysis Settings'!$E$21)))))</f>
        <v>0.94712749172190669</v>
      </c>
      <c r="J35" s="22">
        <f t="shared" si="1"/>
        <v>5.2872508278093311E-2</v>
      </c>
    </row>
    <row r="36" spans="1:10" ht="15" customHeight="1" x14ac:dyDescent="0.3">
      <c r="A36" s="20" t="str">
        <f>'Raw Data (0-4 Scores)'!A36</f>
        <v>Intel Corporation</v>
      </c>
      <c r="B36" s="20">
        <f>'Raw Data (0-4 Scores)'!E36</f>
        <v>2024</v>
      </c>
      <c r="C36" s="22">
        <f>IF('Raw Data (0-4 Scores)'!J36='Analysis Settings'!$F$15,'Analysis Settings'!$B$9,1/(1+EXP(-'Analysis Settings'!$B$8*IF('Raw Data (0-4 Scores)'!J36&gt;'Analysis Settings'!$F$15,('Raw Data (0-4 Scores)'!J36-'Analysis Settings'!$F$15)/('Analysis Settings'!$G$15-'Analysis Settings'!$F$15),('Raw Data (0-4 Scores)'!J36-'Analysis Settings'!$F$15)/('Analysis Settings'!$F$15-'Analysis Settings'!$E$15)))))</f>
        <v>0.95138022090573837</v>
      </c>
      <c r="D36" s="22">
        <f>IF('Raw Data (0-4 Scores)'!K36='Analysis Settings'!$F$16,'Analysis Settings'!$B$9,1/(1+EXP(-'Analysis Settings'!$B$8*IF('Raw Data (0-4 Scores)'!K36&gt;'Analysis Settings'!$F$16,('Raw Data (0-4 Scores)'!K36-'Analysis Settings'!$F$16)/('Analysis Settings'!$G$16-'Analysis Settings'!$F$16),('Raw Data (0-4 Scores)'!K36-'Analysis Settings'!$F$16)/('Analysis Settings'!$F$16-'Analysis Settings'!$E$16)))))</f>
        <v>0.96007443979605434</v>
      </c>
      <c r="E36" s="22">
        <f>IF('Raw Data (0-4 Scores)'!L36='Analysis Settings'!$F$17,'Analysis Settings'!$B$9,1/(1+EXP(-'Analysis Settings'!$B$8*IF('Raw Data (0-4 Scores)'!L36&gt;'Analysis Settings'!$F$17,('Raw Data (0-4 Scores)'!L36-'Analysis Settings'!$F$17)/('Analysis Settings'!$G$17-'Analysis Settings'!$F$17),('Raw Data (0-4 Scores)'!L36-'Analysis Settings'!$F$17)/('Analysis Settings'!$F$17-'Analysis Settings'!$E$17)))))</f>
        <v>0.99715525647836667</v>
      </c>
      <c r="F36" s="22">
        <f>IF('Raw Data (0-4 Scores)'!M36='Analysis Settings'!$F$18,'Analysis Settings'!$B$9,1/(1+EXP(-'Analysis Settings'!$B$8*IF('Raw Data (0-4 Scores)'!M36&gt;'Analysis Settings'!$F$18,('Raw Data (0-4 Scores)'!M36-'Analysis Settings'!$F$18)/('Analysis Settings'!$G$18-'Analysis Settings'!$F$18),('Raw Data (0-4 Scores)'!M36-'Analysis Settings'!$F$18)/('Analysis Settings'!$F$18-'Analysis Settings'!$E$18)))))</f>
        <v>0.91792181600755884</v>
      </c>
      <c r="G36" s="22">
        <f>IF('Raw Data (0-4 Scores)'!N36='Analysis Settings'!$F$19,'Analysis Settings'!$B$9,1/(1+EXP(-'Analysis Settings'!$B$8*IF('Raw Data (0-4 Scores)'!N36&gt;'Analysis Settings'!$F$19,('Raw Data (0-4 Scores)'!N36-'Analysis Settings'!$F$19)/('Analysis Settings'!$G$19-'Analysis Settings'!$F$19),('Raw Data (0-4 Scores)'!N36-'Analysis Settings'!$F$19)/('Analysis Settings'!$F$19-'Analysis Settings'!$E$19)))))</f>
        <v>0.95654745293718613</v>
      </c>
      <c r="H36" s="22">
        <f>IF('Raw Data (0-4 Scores)'!O36='Analysis Settings'!$F$20,'Analysis Settings'!$B$9,1/(1+EXP(-'Analysis Settings'!$B$8*IF('Raw Data (0-4 Scores)'!O36&gt;'Analysis Settings'!$F$20,('Raw Data (0-4 Scores)'!O36-'Analysis Settings'!$F$20)/('Analysis Settings'!$G$20-'Analysis Settings'!$F$20),('Raw Data (0-4 Scores)'!O36-'Analysis Settings'!$F$20)/('Analysis Settings'!$F$20-'Analysis Settings'!$E$20)))))</f>
        <v>0.99723756906077354</v>
      </c>
      <c r="I36" s="22">
        <f>IF('Raw Data (0-4 Scores)'!P36='Analysis Settings'!$F$21,'Analysis Settings'!$B$9,1/(1+EXP(-'Analysis Settings'!$B$8*IF('Raw Data (0-4 Scores)'!P36&gt;'Analysis Settings'!$F$21,('Raw Data (0-4 Scores)'!P36-'Analysis Settings'!$F$21)/('Analysis Settings'!$G$21-'Analysis Settings'!$F$21),('Raw Data (0-4 Scores)'!P36-'Analysis Settings'!$F$21)/('Analysis Settings'!$F$21-'Analysis Settings'!$E$21)))))</f>
        <v>0.95000000000000007</v>
      </c>
      <c r="J36" s="22">
        <f t="shared" si="1"/>
        <v>4.9999999999999933E-2</v>
      </c>
    </row>
    <row r="37" spans="1:10" ht="15" customHeight="1" x14ac:dyDescent="0.3">
      <c r="A37" s="20" t="str">
        <f>'Raw Data (0-4 Scores)'!A37</f>
        <v>Intel Corporation</v>
      </c>
      <c r="B37" s="20">
        <f>'Raw Data (0-4 Scores)'!E37</f>
        <v>2025</v>
      </c>
      <c r="C37" s="22">
        <f>IF('Raw Data (0-4 Scores)'!J37='Analysis Settings'!$F$15,'Analysis Settings'!$B$9,1/(1+EXP(-'Analysis Settings'!$B$8*IF('Raw Data (0-4 Scores)'!J37&gt;'Analysis Settings'!$F$15,('Raw Data (0-4 Scores)'!J37-'Analysis Settings'!$F$15)/('Analysis Settings'!$G$15-'Analysis Settings'!$F$15),('Raw Data (0-4 Scores)'!J37-'Analysis Settings'!$F$15)/('Analysis Settings'!$F$15-'Analysis Settings'!$E$15)))))</f>
        <v>0.98156672650334342</v>
      </c>
      <c r="D37" s="22">
        <f>IF('Raw Data (0-4 Scores)'!K37='Analysis Settings'!$F$16,'Analysis Settings'!$B$9,1/(1+EXP(-'Analysis Settings'!$B$8*IF('Raw Data (0-4 Scores)'!K37&gt;'Analysis Settings'!$F$16,('Raw Data (0-4 Scores)'!K37-'Analysis Settings'!$F$16)/('Analysis Settings'!$G$16-'Analysis Settings'!$F$16),('Raw Data (0-4 Scores)'!K37-'Analysis Settings'!$F$16)/('Analysis Settings'!$F$16-'Analysis Settings'!$E$16)))))</f>
        <v>0.99229632519842292</v>
      </c>
      <c r="E37" s="22">
        <f>IF('Raw Data (0-4 Scores)'!L37='Analysis Settings'!$F$17,'Analysis Settings'!$B$9,1/(1+EXP(-'Analysis Settings'!$B$8*IF('Raw Data (0-4 Scores)'!L37&gt;'Analysis Settings'!$F$17,('Raw Data (0-4 Scores)'!L37-'Analysis Settings'!$F$17)/('Analysis Settings'!$G$17-'Analysis Settings'!$F$17),('Raw Data (0-4 Scores)'!L37-'Analysis Settings'!$F$17)/('Analysis Settings'!$F$17-'Analysis Settings'!$E$17)))))</f>
        <v>0.99723756906077354</v>
      </c>
      <c r="F37" s="22">
        <f>IF('Raw Data (0-4 Scores)'!M37='Analysis Settings'!$F$18,'Analysis Settings'!$B$9,1/(1+EXP(-'Analysis Settings'!$B$8*IF('Raw Data (0-4 Scores)'!M37&gt;'Analysis Settings'!$F$18,('Raw Data (0-4 Scores)'!M37-'Analysis Settings'!$F$18)/('Analysis Settings'!$G$18-'Analysis Settings'!$F$18),('Raw Data (0-4 Scores)'!M37-'Analysis Settings'!$F$18)/('Analysis Settings'!$F$18-'Analysis Settings'!$E$18)))))</f>
        <v>0.98260255564687837</v>
      </c>
      <c r="G37" s="22">
        <f>IF('Raw Data (0-4 Scores)'!N37='Analysis Settings'!$F$19,'Analysis Settings'!$B$9,1/(1+EXP(-'Analysis Settings'!$B$8*IF('Raw Data (0-4 Scores)'!N37&gt;'Analysis Settings'!$F$19,('Raw Data (0-4 Scores)'!N37-'Analysis Settings'!$F$19)/('Analysis Settings'!$G$19-'Analysis Settings'!$F$19),('Raw Data (0-4 Scores)'!N37-'Analysis Settings'!$F$19)/('Analysis Settings'!$F$19-'Analysis Settings'!$E$19)))))</f>
        <v>0.9243359983415621</v>
      </c>
      <c r="H37" s="22">
        <f>IF('Raw Data (0-4 Scores)'!O37='Analysis Settings'!$F$20,'Analysis Settings'!$B$9,1/(1+EXP(-'Analysis Settings'!$B$8*IF('Raw Data (0-4 Scores)'!O37&gt;'Analysis Settings'!$F$20,('Raw Data (0-4 Scores)'!O37-'Analysis Settings'!$F$20)/('Analysis Settings'!$G$20-'Analysis Settings'!$F$20),('Raw Data (0-4 Scores)'!O37-'Analysis Settings'!$F$20)/('Analysis Settings'!$F$20-'Analysis Settings'!$E$20)))))</f>
        <v>0.99723756906077354</v>
      </c>
      <c r="I37" s="22">
        <f>IF('Raw Data (0-4 Scores)'!P37='Analysis Settings'!$F$21,'Analysis Settings'!$B$9,1/(1+EXP(-'Analysis Settings'!$B$8*IF('Raw Data (0-4 Scores)'!P37&gt;'Analysis Settings'!$F$21,('Raw Data (0-4 Scores)'!P37-'Analysis Settings'!$F$21)/('Analysis Settings'!$G$21-'Analysis Settings'!$F$21),('Raw Data (0-4 Scores)'!P37-'Analysis Settings'!$F$21)/('Analysis Settings'!$F$21-'Analysis Settings'!$E$21)))))</f>
        <v>0.97395806041953958</v>
      </c>
      <c r="J37" s="22">
        <f t="shared" si="1"/>
        <v>2.6041939580460416E-2</v>
      </c>
    </row>
    <row r="38" spans="1:10" ht="15" customHeight="1" x14ac:dyDescent="0.3">
      <c r="A38" s="20" t="str">
        <f>'Raw Data (0-4 Scores)'!A38</f>
        <v>KLA Corporation</v>
      </c>
      <c r="B38" s="20">
        <f>'Raw Data (0-4 Scores)'!E38</f>
        <v>2023</v>
      </c>
      <c r="C38" s="22">
        <f>IF('Raw Data (0-4 Scores)'!J38='Analysis Settings'!$F$15,'Analysis Settings'!$B$9,1/(1+EXP(-'Analysis Settings'!$B$8*IF('Raw Data (0-4 Scores)'!J38&gt;'Analysis Settings'!$F$15,('Raw Data (0-4 Scores)'!J38-'Analysis Settings'!$F$15)/('Analysis Settings'!$G$15-'Analysis Settings'!$F$15),('Raw Data (0-4 Scores)'!J38-'Analysis Settings'!$F$15)/('Analysis Settings'!$F$15-'Analysis Settings'!$E$15)))))</f>
        <v>0.39134410295349109</v>
      </c>
      <c r="D38" s="22">
        <f>IF('Raw Data (0-4 Scores)'!K38='Analysis Settings'!$F$16,'Analysis Settings'!$B$9,1/(1+EXP(-'Analysis Settings'!$B$8*IF('Raw Data (0-4 Scores)'!K38&gt;'Analysis Settings'!$F$16,('Raw Data (0-4 Scores)'!K38-'Analysis Settings'!$F$16)/('Analysis Settings'!$G$16-'Analysis Settings'!$F$16),('Raw Data (0-4 Scores)'!K38-'Analysis Settings'!$F$16)/('Analysis Settings'!$F$16-'Analysis Settings'!$E$16)))))</f>
        <v>1.6901186826672999E-2</v>
      </c>
      <c r="E38" s="22">
        <f>IF('Raw Data (0-4 Scores)'!L38='Analysis Settings'!$F$17,'Analysis Settings'!$B$9,1/(1+EXP(-'Analysis Settings'!$B$8*IF('Raw Data (0-4 Scores)'!L38&gt;'Analysis Settings'!$F$17,('Raw Data (0-4 Scores)'!L38-'Analysis Settings'!$F$17)/('Analysis Settings'!$G$17-'Analysis Settings'!$F$17),('Raw Data (0-4 Scores)'!L38-'Analysis Settings'!$F$17)/('Analysis Settings'!$F$17-'Analysis Settings'!$E$17)))))</f>
        <v>0.94409966790709154</v>
      </c>
      <c r="F38" s="22">
        <f>IF('Raw Data (0-4 Scores)'!M38='Analysis Settings'!$F$18,'Analysis Settings'!$B$9,1/(1+EXP(-'Analysis Settings'!$B$8*IF('Raw Data (0-4 Scores)'!M38&gt;'Analysis Settings'!$F$18,('Raw Data (0-4 Scores)'!M38-'Analysis Settings'!$F$18)/('Analysis Settings'!$G$18-'Analysis Settings'!$F$18),('Raw Data (0-4 Scores)'!M38-'Analysis Settings'!$F$18)/('Analysis Settings'!$F$18-'Analysis Settings'!$E$18)))))</f>
        <v>0.14595776020489165</v>
      </c>
      <c r="G38" s="22">
        <f>IF('Raw Data (0-4 Scores)'!N38='Analysis Settings'!$F$19,'Analysis Settings'!$B$9,1/(1+EXP(-'Analysis Settings'!$B$8*IF('Raw Data (0-4 Scores)'!N38&gt;'Analysis Settings'!$F$19,('Raw Data (0-4 Scores)'!N38-'Analysis Settings'!$F$19)/('Analysis Settings'!$G$19-'Analysis Settings'!$F$19),('Raw Data (0-4 Scores)'!N38-'Analysis Settings'!$F$19)/('Analysis Settings'!$F$19-'Analysis Settings'!$E$19)))))</f>
        <v>0.99723756906077354</v>
      </c>
      <c r="H38" s="22">
        <f>IF('Raw Data (0-4 Scores)'!O38='Analysis Settings'!$F$20,'Analysis Settings'!$B$9,1/(1+EXP(-'Analysis Settings'!$B$8*IF('Raw Data (0-4 Scores)'!O38&gt;'Analysis Settings'!$F$20,('Raw Data (0-4 Scores)'!O38-'Analysis Settings'!$F$20)/('Analysis Settings'!$G$20-'Analysis Settings'!$F$20),('Raw Data (0-4 Scores)'!O38-'Analysis Settings'!$F$20)/('Analysis Settings'!$F$20-'Analysis Settings'!$E$20)))))</f>
        <v>0.13187960949253491</v>
      </c>
      <c r="I38" s="22">
        <f>IF('Raw Data (0-4 Scores)'!P38='Analysis Settings'!$F$21,'Analysis Settings'!$B$9,1/(1+EXP(-'Analysis Settings'!$B$8*IF('Raw Data (0-4 Scores)'!P38&gt;'Analysis Settings'!$F$21,('Raw Data (0-4 Scores)'!P38-'Analysis Settings'!$F$21)/('Analysis Settings'!$G$21-'Analysis Settings'!$F$21),('Raw Data (0-4 Scores)'!P38-'Analysis Settings'!$F$21)/('Analysis Settings'!$F$21-'Analysis Settings'!$E$21)))))</f>
        <v>0.93028699837745943</v>
      </c>
      <c r="J38" s="22">
        <f t="shared" si="1"/>
        <v>6.9713001622540571E-2</v>
      </c>
    </row>
    <row r="39" spans="1:10" ht="15" customHeight="1" x14ac:dyDescent="0.3">
      <c r="A39" s="20" t="str">
        <f>'Raw Data (0-4 Scores)'!A39</f>
        <v>KLA Corporation</v>
      </c>
      <c r="B39" s="20">
        <f>'Raw Data (0-4 Scores)'!E39</f>
        <v>2024</v>
      </c>
      <c r="C39" s="22">
        <f>IF('Raw Data (0-4 Scores)'!J39='Analysis Settings'!$F$15,'Analysis Settings'!$B$9,1/(1+EXP(-'Analysis Settings'!$B$8*IF('Raw Data (0-4 Scores)'!J39&gt;'Analysis Settings'!$F$15,('Raw Data (0-4 Scores)'!J39-'Analysis Settings'!$F$15)/('Analysis Settings'!$G$15-'Analysis Settings'!$F$15),('Raw Data (0-4 Scores)'!J39-'Analysis Settings'!$F$15)/('Analysis Settings'!$F$15-'Analysis Settings'!$E$15)))))</f>
        <v>0.45594793149809743</v>
      </c>
      <c r="D39" s="22">
        <f>IF('Raw Data (0-4 Scores)'!K39='Analysis Settings'!$F$16,'Analysis Settings'!$B$9,1/(1+EXP(-'Analysis Settings'!$B$8*IF('Raw Data (0-4 Scores)'!K39&gt;'Analysis Settings'!$F$16,('Raw Data (0-4 Scores)'!K39-'Analysis Settings'!$F$16)/('Analysis Settings'!$G$16-'Analysis Settings'!$F$16),('Raw Data (0-4 Scores)'!K39-'Analysis Settings'!$F$16)/('Analysis Settings'!$F$16-'Analysis Settings'!$E$16)))))</f>
        <v>3.1813031519377311E-2</v>
      </c>
      <c r="E39" s="22">
        <f>IF('Raw Data (0-4 Scores)'!L39='Analysis Settings'!$F$17,'Analysis Settings'!$B$9,1/(1+EXP(-'Analysis Settings'!$B$8*IF('Raw Data (0-4 Scores)'!L39&gt;'Analysis Settings'!$F$17,('Raw Data (0-4 Scores)'!L39-'Analysis Settings'!$F$17)/('Analysis Settings'!$G$17-'Analysis Settings'!$F$17),('Raw Data (0-4 Scores)'!L39-'Analysis Settings'!$F$17)/('Analysis Settings'!$F$17-'Analysis Settings'!$E$17)))))</f>
        <v>0.95530702874889584</v>
      </c>
      <c r="F39" s="22">
        <f>IF('Raw Data (0-4 Scores)'!M39='Analysis Settings'!$F$18,'Analysis Settings'!$B$9,1/(1+EXP(-'Analysis Settings'!$B$8*IF('Raw Data (0-4 Scores)'!M39&gt;'Analysis Settings'!$F$18,('Raw Data (0-4 Scores)'!M39-'Analysis Settings'!$F$18)/('Analysis Settings'!$G$18-'Analysis Settings'!$F$18),('Raw Data (0-4 Scores)'!M39-'Analysis Settings'!$F$18)/('Analysis Settings'!$F$18-'Analysis Settings'!$E$18)))))</f>
        <v>0.49263943432815055</v>
      </c>
      <c r="G39" s="22">
        <f>IF('Raw Data (0-4 Scores)'!N39='Analysis Settings'!$F$19,'Analysis Settings'!$B$9,1/(1+EXP(-'Analysis Settings'!$B$8*IF('Raw Data (0-4 Scores)'!N39&gt;'Analysis Settings'!$F$19,('Raw Data (0-4 Scores)'!N39-'Analysis Settings'!$F$19)/('Analysis Settings'!$G$19-'Analysis Settings'!$F$19),('Raw Data (0-4 Scores)'!N39-'Analysis Settings'!$F$19)/('Analysis Settings'!$F$19-'Analysis Settings'!$E$19)))))</f>
        <v>0.99723756906077354</v>
      </c>
      <c r="H39" s="22">
        <f>IF('Raw Data (0-4 Scores)'!O39='Analysis Settings'!$F$20,'Analysis Settings'!$B$9,1/(1+EXP(-'Analysis Settings'!$B$8*IF('Raw Data (0-4 Scores)'!O39&gt;'Analysis Settings'!$F$20,('Raw Data (0-4 Scores)'!O39-'Analysis Settings'!$F$20)/('Analysis Settings'!$G$20-'Analysis Settings'!$F$20),('Raw Data (0-4 Scores)'!O39-'Analysis Settings'!$F$20)/('Analysis Settings'!$F$20-'Analysis Settings'!$E$20)))))</f>
        <v>0.56586488206057406</v>
      </c>
      <c r="I39" s="22">
        <f>IF('Raw Data (0-4 Scores)'!P39='Analysis Settings'!$F$21,'Analysis Settings'!$B$9,1/(1+EXP(-'Analysis Settings'!$B$8*IF('Raw Data (0-4 Scores)'!P39&gt;'Analysis Settings'!$F$21,('Raw Data (0-4 Scores)'!P39-'Analysis Settings'!$F$21)/('Analysis Settings'!$G$21-'Analysis Settings'!$F$21),('Raw Data (0-4 Scores)'!P39-'Analysis Settings'!$F$21)/('Analysis Settings'!$F$21-'Analysis Settings'!$E$21)))))</f>
        <v>0.95403289625145604</v>
      </c>
      <c r="J39" s="22">
        <f t="shared" si="1"/>
        <v>4.5967103748543958E-2</v>
      </c>
    </row>
    <row r="40" spans="1:10" ht="15" customHeight="1" x14ac:dyDescent="0.3">
      <c r="A40" s="20" t="str">
        <f>'Raw Data (0-4 Scores)'!A40</f>
        <v>KLA Corporation</v>
      </c>
      <c r="B40" s="20">
        <f>'Raw Data (0-4 Scores)'!E40</f>
        <v>2025</v>
      </c>
      <c r="C40" s="22">
        <f>IF('Raw Data (0-4 Scores)'!J40='Analysis Settings'!$F$15,'Analysis Settings'!$B$9,1/(1+EXP(-'Analysis Settings'!$B$8*IF('Raw Data (0-4 Scores)'!J40&gt;'Analysis Settings'!$F$15,('Raw Data (0-4 Scores)'!J40-'Analysis Settings'!$F$15)/('Analysis Settings'!$G$15-'Analysis Settings'!$F$15),('Raw Data (0-4 Scores)'!J40-'Analysis Settings'!$F$15)/('Analysis Settings'!$F$15-'Analysis Settings'!$E$15)))))</f>
        <v>0.61564650083511141</v>
      </c>
      <c r="D40" s="22">
        <f>IF('Raw Data (0-4 Scores)'!K40='Analysis Settings'!$F$16,'Analysis Settings'!$B$9,1/(1+EXP(-'Analysis Settings'!$B$8*IF('Raw Data (0-4 Scores)'!K40&gt;'Analysis Settings'!$F$16,('Raw Data (0-4 Scores)'!K40-'Analysis Settings'!$F$16)/('Analysis Settings'!$G$16-'Analysis Settings'!$F$16),('Raw Data (0-4 Scores)'!K40-'Analysis Settings'!$F$16)/('Analysis Settings'!$F$16-'Analysis Settings'!$E$16)))))</f>
        <v>0.1735673583595525</v>
      </c>
      <c r="E40" s="22">
        <f>IF('Raw Data (0-4 Scores)'!L40='Analysis Settings'!$F$17,'Analysis Settings'!$B$9,1/(1+EXP(-'Analysis Settings'!$B$8*IF('Raw Data (0-4 Scores)'!L40&gt;'Analysis Settings'!$F$17,('Raw Data (0-4 Scores)'!L40-'Analysis Settings'!$F$17)/('Analysis Settings'!$G$17-'Analysis Settings'!$F$17),('Raw Data (0-4 Scores)'!L40-'Analysis Settings'!$F$17)/('Analysis Settings'!$F$17-'Analysis Settings'!$E$17)))))</f>
        <v>0.96227157328992696</v>
      </c>
      <c r="F40" s="22">
        <f>IF('Raw Data (0-4 Scores)'!M40='Analysis Settings'!$F$18,'Analysis Settings'!$B$9,1/(1+EXP(-'Analysis Settings'!$B$8*IF('Raw Data (0-4 Scores)'!M40&gt;'Analysis Settings'!$F$18,('Raw Data (0-4 Scores)'!M40-'Analysis Settings'!$F$18)/('Analysis Settings'!$G$18-'Analysis Settings'!$F$18),('Raw Data (0-4 Scores)'!M40-'Analysis Settings'!$F$18)/('Analysis Settings'!$F$18-'Analysis Settings'!$E$18)))))</f>
        <v>0.78508563437356738</v>
      </c>
      <c r="G40" s="22">
        <f>IF('Raw Data (0-4 Scores)'!N40='Analysis Settings'!$F$19,'Analysis Settings'!$B$9,1/(1+EXP(-'Analysis Settings'!$B$8*IF('Raw Data (0-4 Scores)'!N40&gt;'Analysis Settings'!$F$19,('Raw Data (0-4 Scores)'!N40-'Analysis Settings'!$F$19)/('Analysis Settings'!$G$19-'Analysis Settings'!$F$19),('Raw Data (0-4 Scores)'!N40-'Analysis Settings'!$F$19)/('Analysis Settings'!$F$19-'Analysis Settings'!$E$19)))))</f>
        <v>0.99723756906077354</v>
      </c>
      <c r="H40" s="22">
        <f>IF('Raw Data (0-4 Scores)'!O40='Analysis Settings'!$F$20,'Analysis Settings'!$B$9,1/(1+EXP(-'Analysis Settings'!$B$8*IF('Raw Data (0-4 Scores)'!O40&gt;'Analysis Settings'!$F$20,('Raw Data (0-4 Scores)'!O40-'Analysis Settings'!$F$20)/('Analysis Settings'!$G$20-'Analysis Settings'!$F$20),('Raw Data (0-4 Scores)'!O40-'Analysis Settings'!$F$20)/('Analysis Settings'!$F$20-'Analysis Settings'!$E$20)))))</f>
        <v>0.28643210075973391</v>
      </c>
      <c r="I40" s="22">
        <f>IF('Raw Data (0-4 Scores)'!P40='Analysis Settings'!$F$21,'Analysis Settings'!$B$9,1/(1+EXP(-'Analysis Settings'!$B$8*IF('Raw Data (0-4 Scores)'!P40&gt;'Analysis Settings'!$F$21,('Raw Data (0-4 Scores)'!P40-'Analysis Settings'!$F$21)/('Analysis Settings'!$G$21-'Analysis Settings'!$F$21),('Raw Data (0-4 Scores)'!P40-'Analysis Settings'!$F$21)/('Analysis Settings'!$F$21-'Analysis Settings'!$E$21)))))</f>
        <v>0.95893037635095557</v>
      </c>
      <c r="J40" s="22">
        <f t="shared" si="1"/>
        <v>4.1069623649044429E-2</v>
      </c>
    </row>
    <row r="41" spans="1:10" ht="15" customHeight="1" x14ac:dyDescent="0.3">
      <c r="A41" s="20" t="str">
        <f>'Raw Data (0-4 Scores)'!A41</f>
        <v>LX Semicon</v>
      </c>
      <c r="B41" s="20">
        <f>'Raw Data (0-4 Scores)'!E41</f>
        <v>2023</v>
      </c>
      <c r="C41" s="22">
        <f>IF('Raw Data (0-4 Scores)'!J41='Analysis Settings'!$F$15,'Analysis Settings'!$B$9,1/(1+EXP(-'Analysis Settings'!$B$8*IF('Raw Data (0-4 Scores)'!J41&gt;'Analysis Settings'!$F$15,('Raw Data (0-4 Scores)'!J41-'Analysis Settings'!$F$15)/('Analysis Settings'!$G$15-'Analysis Settings'!$F$15),('Raw Data (0-4 Scores)'!J41-'Analysis Settings'!$F$15)/('Analysis Settings'!$F$15-'Analysis Settings'!$E$15)))))</f>
        <v>1.6418848381710885E-2</v>
      </c>
      <c r="D41" s="22">
        <f>IF('Raw Data (0-4 Scores)'!K41='Analysis Settings'!$F$16,'Analysis Settings'!$B$9,1/(1+EXP(-'Analysis Settings'!$B$8*IF('Raw Data (0-4 Scores)'!K41&gt;'Analysis Settings'!$F$16,('Raw Data (0-4 Scores)'!K41-'Analysis Settings'!$F$16)/('Analysis Settings'!$G$16-'Analysis Settings'!$F$16),('Raw Data (0-4 Scores)'!K41-'Analysis Settings'!$F$16)/('Analysis Settings'!$F$16-'Analysis Settings'!$E$16)))))</f>
        <v>2.6041939580460551E-2</v>
      </c>
      <c r="E41" s="22">
        <f>IF('Raw Data (0-4 Scores)'!L41='Analysis Settings'!$F$17,'Analysis Settings'!$B$9,1/(1+EXP(-'Analysis Settings'!$B$8*IF('Raw Data (0-4 Scores)'!L41&gt;'Analysis Settings'!$F$17,('Raw Data (0-4 Scores)'!L41-'Analysis Settings'!$F$17)/('Analysis Settings'!$G$17-'Analysis Settings'!$F$17),('Raw Data (0-4 Scores)'!L41-'Analysis Settings'!$F$17)/('Analysis Settings'!$F$17-'Analysis Settings'!$E$17)))))</f>
        <v>0.33688183633303798</v>
      </c>
      <c r="F41" s="22">
        <f>IF('Raw Data (0-4 Scores)'!M41='Analysis Settings'!$F$18,'Analysis Settings'!$B$9,1/(1+EXP(-'Analysis Settings'!$B$8*IF('Raw Data (0-4 Scores)'!M41&gt;'Analysis Settings'!$F$18,('Raw Data (0-4 Scores)'!M41-'Analysis Settings'!$F$18)/('Analysis Settings'!$G$18-'Analysis Settings'!$F$18),('Raw Data (0-4 Scores)'!M41-'Analysis Settings'!$F$18)/('Analysis Settings'!$F$18-'Analysis Settings'!$E$18)))))</f>
        <v>2.1917121309985309E-2</v>
      </c>
      <c r="G41" s="22">
        <f>IF('Raw Data (0-4 Scores)'!N41='Analysis Settings'!$F$19,'Analysis Settings'!$B$9,1/(1+EXP(-'Analysis Settings'!$B$8*IF('Raw Data (0-4 Scores)'!N41&gt;'Analysis Settings'!$F$19,('Raw Data (0-4 Scores)'!N41-'Analysis Settings'!$F$19)/('Analysis Settings'!$G$19-'Analysis Settings'!$F$19),('Raw Data (0-4 Scores)'!N41-'Analysis Settings'!$F$19)/('Analysis Settings'!$F$19-'Analysis Settings'!$E$19)))))</f>
        <v>6.5989312656379265E-2</v>
      </c>
      <c r="H41" s="22">
        <f>IF('Raw Data (0-4 Scores)'!O41='Analysis Settings'!$F$20,'Analysis Settings'!$B$9,1/(1+EXP(-'Analysis Settings'!$B$8*IF('Raw Data (0-4 Scores)'!O41&gt;'Analysis Settings'!$F$20,('Raw Data (0-4 Scores)'!O41-'Analysis Settings'!$F$20)/('Analysis Settings'!$G$20-'Analysis Settings'!$F$20),('Raw Data (0-4 Scores)'!O41-'Analysis Settings'!$F$20)/('Analysis Settings'!$F$20-'Analysis Settings'!$E$20)))))</f>
        <v>4.2245027618854757E-2</v>
      </c>
      <c r="I41" s="22">
        <f>IF('Raw Data (0-4 Scores)'!P41='Analysis Settings'!$F$21,'Analysis Settings'!$B$9,1/(1+EXP(-'Analysis Settings'!$B$8*IF('Raw Data (0-4 Scores)'!P41&gt;'Analysis Settings'!$F$21,('Raw Data (0-4 Scores)'!P41-'Analysis Settings'!$F$21)/('Analysis Settings'!$G$21-'Analysis Settings'!$F$21),('Raw Data (0-4 Scores)'!P41-'Analysis Settings'!$F$21)/('Analysis Settings'!$F$21-'Analysis Settings'!$E$21)))))</f>
        <v>1.3796653289994501E-2</v>
      </c>
      <c r="J41" s="22">
        <f t="shared" si="1"/>
        <v>1.3796653289994501E-2</v>
      </c>
    </row>
    <row r="42" spans="1:10" ht="15" customHeight="1" x14ac:dyDescent="0.3">
      <c r="A42" s="20" t="str">
        <f>'Raw Data (0-4 Scores)'!A42</f>
        <v>LX Semicon</v>
      </c>
      <c r="B42" s="20">
        <f>'Raw Data (0-4 Scores)'!E42</f>
        <v>2024</v>
      </c>
      <c r="C42" s="22">
        <f>IF('Raw Data (0-4 Scores)'!J42='Analysis Settings'!$F$15,'Analysis Settings'!$B$9,1/(1+EXP(-'Analysis Settings'!$B$8*IF('Raw Data (0-4 Scores)'!J42&gt;'Analysis Settings'!$F$15,('Raw Data (0-4 Scores)'!J42-'Analysis Settings'!$F$15)/('Analysis Settings'!$G$15-'Analysis Settings'!$F$15),('Raw Data (0-4 Scores)'!J42-'Analysis Settings'!$F$15)/('Analysis Settings'!$F$15-'Analysis Settings'!$E$15)))))</f>
        <v>6.074922123513446E-2</v>
      </c>
      <c r="D42" s="22">
        <f>IF('Raw Data (0-4 Scores)'!K42='Analysis Settings'!$F$16,'Analysis Settings'!$B$9,1/(1+EXP(-'Analysis Settings'!$B$8*IF('Raw Data (0-4 Scores)'!K42&gt;'Analysis Settings'!$F$16,('Raw Data (0-4 Scores)'!K42-'Analysis Settings'!$F$16)/('Analysis Settings'!$G$16-'Analysis Settings'!$F$16),('Raw Data (0-4 Scores)'!K42-'Analysis Settings'!$F$16)/('Analysis Settings'!$F$16-'Analysis Settings'!$E$16)))))</f>
        <v>0.62258966162316209</v>
      </c>
      <c r="E42" s="22">
        <f>IF('Raw Data (0-4 Scores)'!L42='Analysis Settings'!$F$17,'Analysis Settings'!$B$9,1/(1+EXP(-'Analysis Settings'!$B$8*IF('Raw Data (0-4 Scores)'!L42&gt;'Analysis Settings'!$F$17,('Raw Data (0-4 Scores)'!L42-'Analysis Settings'!$F$17)/('Analysis Settings'!$G$17-'Analysis Settings'!$F$17),('Raw Data (0-4 Scores)'!L42-'Analysis Settings'!$F$17)/('Analysis Settings'!$F$17-'Analysis Settings'!$E$17)))))</f>
        <v>0.97242199065654311</v>
      </c>
      <c r="F42" s="22">
        <f>IF('Raw Data (0-4 Scores)'!M42='Analysis Settings'!$F$18,'Analysis Settings'!$B$9,1/(1+EXP(-'Analysis Settings'!$B$8*IF('Raw Data (0-4 Scores)'!M42&gt;'Analysis Settings'!$F$18,('Raw Data (0-4 Scores)'!M42-'Analysis Settings'!$F$18)/('Analysis Settings'!$G$18-'Analysis Settings'!$F$18),('Raw Data (0-4 Scores)'!M42-'Analysis Settings'!$F$18)/('Analysis Settings'!$F$18-'Analysis Settings'!$E$18)))))</f>
        <v>5.4366556969581412E-2</v>
      </c>
      <c r="G42" s="22">
        <f>IF('Raw Data (0-4 Scores)'!N42='Analysis Settings'!$F$19,'Analysis Settings'!$B$9,1/(1+EXP(-'Analysis Settings'!$B$8*IF('Raw Data (0-4 Scores)'!N42&gt;'Analysis Settings'!$F$19,('Raw Data (0-4 Scores)'!N42-'Analysis Settings'!$F$19)/('Analysis Settings'!$G$19-'Analysis Settings'!$F$19),('Raw Data (0-4 Scores)'!N42-'Analysis Settings'!$F$19)/('Analysis Settings'!$F$19-'Analysis Settings'!$E$19)))))</f>
        <v>3.3677735438351453E-2</v>
      </c>
      <c r="H42" s="22">
        <f>IF('Raw Data (0-4 Scores)'!O42='Analysis Settings'!$F$20,'Analysis Settings'!$B$9,1/(1+EXP(-'Analysis Settings'!$B$8*IF('Raw Data (0-4 Scores)'!O42&gt;'Analysis Settings'!$F$20,('Raw Data (0-4 Scores)'!O42-'Analysis Settings'!$F$20)/('Analysis Settings'!$G$20-'Analysis Settings'!$F$20),('Raw Data (0-4 Scores)'!O42-'Analysis Settings'!$F$20)/('Analysis Settings'!$F$20-'Analysis Settings'!$E$20)))))</f>
        <v>5.7474747740164214E-2</v>
      </c>
      <c r="I42" s="22">
        <f>IF('Raw Data (0-4 Scores)'!P42='Analysis Settings'!$F$21,'Analysis Settings'!$B$9,1/(1+EXP(-'Analysis Settings'!$B$8*IF('Raw Data (0-4 Scores)'!P42&gt;'Analysis Settings'!$F$21,('Raw Data (0-4 Scores)'!P42-'Analysis Settings'!$F$21)/('Analysis Settings'!$G$21-'Analysis Settings'!$F$21),('Raw Data (0-4 Scores)'!P42-'Analysis Settings'!$F$21)/('Analysis Settings'!$F$21-'Analysis Settings'!$E$21)))))</f>
        <v>4.4692971251104087E-2</v>
      </c>
      <c r="J42" s="22">
        <f t="shared" si="1"/>
        <v>4.4692971251104087E-2</v>
      </c>
    </row>
    <row r="43" spans="1:10" ht="15" customHeight="1" x14ac:dyDescent="0.3">
      <c r="A43" s="20" t="str">
        <f>'Raw Data (0-4 Scores)'!A43</f>
        <v>LX Semicon</v>
      </c>
      <c r="B43" s="20">
        <f>'Raw Data (0-4 Scores)'!E43</f>
        <v>2025</v>
      </c>
      <c r="C43" s="22">
        <f>IF('Raw Data (0-4 Scores)'!J43='Analysis Settings'!$F$15,'Analysis Settings'!$B$9,1/(1+EXP(-'Analysis Settings'!$B$8*IF('Raw Data (0-4 Scores)'!J43&gt;'Analysis Settings'!$F$15,('Raw Data (0-4 Scores)'!J43-'Analysis Settings'!$F$15)/('Analysis Settings'!$G$15-'Analysis Settings'!$F$15),('Raw Data (0-4 Scores)'!J43-'Analysis Settings'!$F$15)/('Analysis Settings'!$F$15-'Analysis Settings'!$E$15)))))</f>
        <v>0.19570924742660489</v>
      </c>
      <c r="D43" s="22">
        <f>IF('Raw Data (0-4 Scores)'!K43='Analysis Settings'!$F$16,'Analysis Settings'!$B$9,1/(1+EXP(-'Analysis Settings'!$B$8*IF('Raw Data (0-4 Scores)'!K43&gt;'Analysis Settings'!$F$16,('Raw Data (0-4 Scores)'!K43-'Analysis Settings'!$F$16)/('Analysis Settings'!$G$16-'Analysis Settings'!$F$16),('Raw Data (0-4 Scores)'!K43-'Analysis Settings'!$F$16)/('Analysis Settings'!$F$16-'Analysis Settings'!$E$16)))))</f>
        <v>0.71356789924026609</v>
      </c>
      <c r="E43" s="22">
        <f>IF('Raw Data (0-4 Scores)'!L43='Analysis Settings'!$F$17,'Analysis Settings'!$B$9,1/(1+EXP(-'Analysis Settings'!$B$8*IF('Raw Data (0-4 Scores)'!L43&gt;'Analysis Settings'!$F$17,('Raw Data (0-4 Scores)'!L43-'Analysis Settings'!$F$17)/('Analysis Settings'!$G$17-'Analysis Settings'!$F$17),('Raw Data (0-4 Scores)'!L43-'Analysis Settings'!$F$17)/('Analysis Settings'!$F$17-'Analysis Settings'!$E$17)))))</f>
        <v>0.97079803321377589</v>
      </c>
      <c r="F43" s="22">
        <f>IF('Raw Data (0-4 Scores)'!M43='Analysis Settings'!$F$18,'Analysis Settings'!$B$9,1/(1+EXP(-'Analysis Settings'!$B$8*IF('Raw Data (0-4 Scores)'!M43&gt;'Analysis Settings'!$F$18,('Raw Data (0-4 Scores)'!M43-'Analysis Settings'!$F$18)/('Analysis Settings'!$G$18-'Analysis Settings'!$F$18),('Raw Data (0-4 Scores)'!M43-'Analysis Settings'!$F$18)/('Analysis Settings'!$F$18-'Analysis Settings'!$E$18)))))</f>
        <v>8.2078183992441059E-2</v>
      </c>
      <c r="G43" s="22">
        <f>IF('Raw Data (0-4 Scores)'!N43='Analysis Settings'!$F$19,'Analysis Settings'!$B$9,1/(1+EXP(-'Analysis Settings'!$B$8*IF('Raw Data (0-4 Scores)'!N43&gt;'Analysis Settings'!$F$19,('Raw Data (0-4 Scores)'!N43-'Analysis Settings'!$F$19)/('Analysis Settings'!$G$19-'Analysis Settings'!$F$19),('Raw Data (0-4 Scores)'!N43-'Analysis Settings'!$F$19)/('Analysis Settings'!$F$19-'Analysis Settings'!$E$19)))))</f>
        <v>0.26297678305924121</v>
      </c>
      <c r="H43" s="22">
        <f>IF('Raw Data (0-4 Scores)'!O43='Analysis Settings'!$F$20,'Analysis Settings'!$B$9,1/(1+EXP(-'Analysis Settings'!$B$8*IF('Raw Data (0-4 Scores)'!O43&gt;'Analysis Settings'!$F$20,('Raw Data (0-4 Scores)'!O43-'Analysis Settings'!$F$20)/('Analysis Settings'!$G$20-'Analysis Settings'!$F$20),('Raw Data (0-4 Scores)'!O43-'Analysis Settings'!$F$20)/('Analysis Settings'!$F$20-'Analysis Settings'!$E$20)))))</f>
        <v>0.10438352208043737</v>
      </c>
      <c r="I43" s="22">
        <f>IF('Raw Data (0-4 Scores)'!P43='Analysis Settings'!$F$21,'Analysis Settings'!$B$9,1/(1+EXP(-'Analysis Settings'!$B$8*IF('Raw Data (0-4 Scores)'!P43&gt;'Analysis Settings'!$F$21,('Raw Data (0-4 Scores)'!P43-'Analysis Settings'!$F$21)/('Analysis Settings'!$G$21-'Analysis Settings'!$F$21),('Raw Data (0-4 Scores)'!P43-'Analysis Settings'!$F$21)/('Analysis Settings'!$F$21-'Analysis Settings'!$E$21)))))</f>
        <v>4.7275762366902646E-2</v>
      </c>
      <c r="J43" s="22">
        <f t="shared" si="1"/>
        <v>4.7275762366902646E-2</v>
      </c>
    </row>
    <row r="44" spans="1:10" ht="15" customHeight="1" x14ac:dyDescent="0.3">
      <c r="A44" s="20" t="str">
        <f>'Raw Data (0-4 Scores)'!A44</f>
        <v>Lam Research</v>
      </c>
      <c r="B44" s="20">
        <f>'Raw Data (0-4 Scores)'!E44</f>
        <v>2023</v>
      </c>
      <c r="C44" s="22">
        <f>IF('Raw Data (0-4 Scores)'!J44='Analysis Settings'!$F$15,'Analysis Settings'!$B$9,1/(1+EXP(-'Analysis Settings'!$B$8*IF('Raw Data (0-4 Scores)'!J44&gt;'Analysis Settings'!$F$15,('Raw Data (0-4 Scores)'!J44-'Analysis Settings'!$F$15)/('Analysis Settings'!$G$15-'Analysis Settings'!$F$15),('Raw Data (0-4 Scores)'!J44-'Analysis Settings'!$F$15)/('Analysis Settings'!$F$15-'Analysis Settings'!$E$15)))))</f>
        <v>0.24079402783585596</v>
      </c>
      <c r="D44" s="22">
        <f>IF('Raw Data (0-4 Scores)'!K44='Analysis Settings'!$F$16,'Analysis Settings'!$B$9,1/(1+EXP(-'Analysis Settings'!$B$8*IF('Raw Data (0-4 Scores)'!K44&gt;'Analysis Settings'!$F$16,('Raw Data (0-4 Scores)'!K44-'Analysis Settings'!$F$16)/('Analysis Settings'!$G$16-'Analysis Settings'!$F$16),('Raw Data (0-4 Scores)'!K44-'Analysis Settings'!$F$16)/('Analysis Settings'!$F$16-'Analysis Settings'!$E$16)))))</f>
        <v>9.7299473886419269E-3</v>
      </c>
      <c r="E44" s="22">
        <f>IF('Raw Data (0-4 Scores)'!L44='Analysis Settings'!$F$17,'Analysis Settings'!$B$9,1/(1+EXP(-'Analysis Settings'!$B$8*IF('Raw Data (0-4 Scores)'!L44&gt;'Analysis Settings'!$F$17,('Raw Data (0-4 Scores)'!L44-'Analysis Settings'!$F$17)/('Analysis Settings'!$G$17-'Analysis Settings'!$F$17),('Raw Data (0-4 Scores)'!L44-'Analysis Settings'!$F$17)/('Analysis Settings'!$F$17-'Analysis Settings'!$E$17)))))</f>
        <v>0.93028699837745943</v>
      </c>
      <c r="F44" s="22">
        <f>IF('Raw Data (0-4 Scores)'!M44='Analysis Settings'!$F$18,'Analysis Settings'!$B$9,1/(1+EXP(-'Analysis Settings'!$B$8*IF('Raw Data (0-4 Scores)'!M44&gt;'Analysis Settings'!$F$18,('Raw Data (0-4 Scores)'!M44-'Analysis Settings'!$F$18)/('Analysis Settings'!$G$18-'Analysis Settings'!$F$18),('Raw Data (0-4 Scores)'!M44-'Analysis Settings'!$F$18)/('Analysis Settings'!$F$18-'Analysis Settings'!$E$18)))))</f>
        <v>0.35689008625740209</v>
      </c>
      <c r="G44" s="22">
        <f>IF('Raw Data (0-4 Scores)'!N44='Analysis Settings'!$F$19,'Analysis Settings'!$B$9,1/(1+EXP(-'Analysis Settings'!$B$8*IF('Raw Data (0-4 Scores)'!N44&gt;'Analysis Settings'!$F$19,('Raw Data (0-4 Scores)'!N44-'Analysis Settings'!$F$19)/('Analysis Settings'!$G$19-'Analysis Settings'!$F$19),('Raw Data (0-4 Scores)'!N44-'Analysis Settings'!$F$19)/('Analysis Settings'!$F$19-'Analysis Settings'!$E$19)))))</f>
        <v>0.99183285770953611</v>
      </c>
      <c r="H44" s="22">
        <f>IF('Raw Data (0-4 Scores)'!O44='Analysis Settings'!$F$20,'Analysis Settings'!$B$9,1/(1+EXP(-'Analysis Settings'!$B$8*IF('Raw Data (0-4 Scores)'!O44&gt;'Analysis Settings'!$F$20,('Raw Data (0-4 Scores)'!O44-'Analysis Settings'!$F$20)/('Analysis Settings'!$G$20-'Analysis Settings'!$F$20),('Raw Data (0-4 Scores)'!O44-'Analysis Settings'!$F$20)/('Analysis Settings'!$F$20-'Analysis Settings'!$E$20)))))</f>
        <v>0.45594793149809743</v>
      </c>
      <c r="I44" s="22">
        <f>IF('Raw Data (0-4 Scores)'!P44='Analysis Settings'!$F$21,'Analysis Settings'!$B$9,1/(1+EXP(-'Analysis Settings'!$B$8*IF('Raw Data (0-4 Scores)'!P44&gt;'Analysis Settings'!$F$21,('Raw Data (0-4 Scores)'!P44-'Analysis Settings'!$F$21)/('Analysis Settings'!$G$21-'Analysis Settings'!$F$21),('Raw Data (0-4 Scores)'!P44-'Analysis Settings'!$F$21)/('Analysis Settings'!$F$21-'Analysis Settings'!$E$21)))))</f>
        <v>0.87145501630212008</v>
      </c>
      <c r="J44" s="22">
        <f t="shared" si="1"/>
        <v>0.12854498369787992</v>
      </c>
    </row>
    <row r="45" spans="1:10" ht="15" customHeight="1" x14ac:dyDescent="0.3">
      <c r="A45" s="20" t="str">
        <f>'Raw Data (0-4 Scores)'!A45</f>
        <v>Lam Research</v>
      </c>
      <c r="B45" s="20">
        <f>'Raw Data (0-4 Scores)'!E45</f>
        <v>2024</v>
      </c>
      <c r="C45" s="22">
        <f>IF('Raw Data (0-4 Scores)'!J45='Analysis Settings'!$F$15,'Analysis Settings'!$B$9,1/(1+EXP(-'Analysis Settings'!$B$8*IF('Raw Data (0-4 Scores)'!J45&gt;'Analysis Settings'!$F$15,('Raw Data (0-4 Scores)'!J45-'Analysis Settings'!$F$15)/('Analysis Settings'!$G$15-'Analysis Settings'!$F$15),('Raw Data (0-4 Scores)'!J45-'Analysis Settings'!$F$15)/('Analysis Settings'!$F$15-'Analysis Settings'!$E$15)))))</f>
        <v>0.54405206850190257</v>
      </c>
      <c r="D45" s="22">
        <f>IF('Raw Data (0-4 Scores)'!K45='Analysis Settings'!$F$16,'Analysis Settings'!$B$9,1/(1+EXP(-'Analysis Settings'!$B$8*IF('Raw Data (0-4 Scores)'!K45&gt;'Analysis Settings'!$F$16,('Raw Data (0-4 Scores)'!K45-'Analysis Settings'!$F$16)/('Analysis Settings'!$G$16-'Analysis Settings'!$F$16),('Raw Data (0-4 Scores)'!K45-'Analysis Settings'!$F$16)/('Analysis Settings'!$F$16-'Analysis Settings'!$E$16)))))</f>
        <v>2.8378713254882369E-2</v>
      </c>
      <c r="E45" s="22">
        <f>IF('Raw Data (0-4 Scores)'!L45='Analysis Settings'!$F$17,'Analysis Settings'!$B$9,1/(1+EXP(-'Analysis Settings'!$B$8*IF('Raw Data (0-4 Scores)'!L45&gt;'Analysis Settings'!$F$17,('Raw Data (0-4 Scores)'!L45-'Analysis Settings'!$F$17)/('Analysis Settings'!$G$17-'Analysis Settings'!$F$17),('Raw Data (0-4 Scores)'!L45-'Analysis Settings'!$F$17)/('Analysis Settings'!$F$17-'Analysis Settings'!$E$17)))))</f>
        <v>0.94090926908265249</v>
      </c>
      <c r="F45" s="22">
        <f>IF('Raw Data (0-4 Scores)'!M45='Analysis Settings'!$F$18,'Analysis Settings'!$B$9,1/(1+EXP(-'Analysis Settings'!$B$8*IF('Raw Data (0-4 Scores)'!M45&gt;'Analysis Settings'!$F$18,('Raw Data (0-4 Scores)'!M45-'Analysis Settings'!$F$18)/('Analysis Settings'!$G$18-'Analysis Settings'!$F$18),('Raw Data (0-4 Scores)'!M45-'Analysis Settings'!$F$18)/('Analysis Settings'!$F$18-'Analysis Settings'!$E$18)))))</f>
        <v>0.62258966162316209</v>
      </c>
      <c r="G45" s="22">
        <f>IF('Raw Data (0-4 Scores)'!N45='Analysis Settings'!$F$19,'Analysis Settings'!$B$9,1/(1+EXP(-'Analysis Settings'!$B$8*IF('Raw Data (0-4 Scores)'!N45&gt;'Analysis Settings'!$F$19,('Raw Data (0-4 Scores)'!N45-'Analysis Settings'!$F$19)/('Analysis Settings'!$G$19-'Analysis Settings'!$F$19),('Raw Data (0-4 Scores)'!N45-'Analysis Settings'!$F$19)/('Analysis Settings'!$F$19-'Analysis Settings'!$E$19)))))</f>
        <v>0.99660742335583274</v>
      </c>
      <c r="H45" s="22">
        <f>IF('Raw Data (0-4 Scores)'!O45='Analysis Settings'!$F$20,'Analysis Settings'!$B$9,1/(1+EXP(-'Analysis Settings'!$B$8*IF('Raw Data (0-4 Scores)'!O45&gt;'Analysis Settings'!$F$20,('Raw Data (0-4 Scores)'!O45-'Analysis Settings'!$F$20)/('Analysis Settings'!$G$20-'Analysis Settings'!$F$20),('Raw Data (0-4 Scores)'!O45-'Analysis Settings'!$F$20)/('Analysis Settings'!$F$20-'Analysis Settings'!$E$20)))))</f>
        <v>0.5586179890472327</v>
      </c>
      <c r="I45" s="22">
        <f>IF('Raw Data (0-4 Scores)'!P45='Analysis Settings'!$F$21,'Analysis Settings'!$B$9,1/(1+EXP(-'Analysis Settings'!$B$8*IF('Raw Data (0-4 Scores)'!P45&gt;'Analysis Settings'!$F$21,('Raw Data (0-4 Scores)'!P45-'Analysis Settings'!$F$21)/('Analysis Settings'!$G$21-'Analysis Settings'!$F$21),('Raw Data (0-4 Scores)'!P45-'Analysis Settings'!$F$21)/('Analysis Settings'!$F$21-'Analysis Settings'!$E$21)))))</f>
        <v>0.89283155299997363</v>
      </c>
      <c r="J45" s="22">
        <f t="shared" si="1"/>
        <v>0.10716844700002637</v>
      </c>
    </row>
    <row r="46" spans="1:10" ht="15" customHeight="1" x14ac:dyDescent="0.3">
      <c r="A46" s="20" t="str">
        <f>'Raw Data (0-4 Scores)'!A46</f>
        <v>Lam Research</v>
      </c>
      <c r="B46" s="20">
        <f>'Raw Data (0-4 Scores)'!E46</f>
        <v>2025</v>
      </c>
      <c r="C46" s="22">
        <f>IF('Raw Data (0-4 Scores)'!J46='Analysis Settings'!$F$15,'Analysis Settings'!$B$9,1/(1+EXP(-'Analysis Settings'!$B$8*IF('Raw Data (0-4 Scores)'!J46&gt;'Analysis Settings'!$F$15,('Raw Data (0-4 Scores)'!J46-'Analysis Settings'!$F$15)/('Analysis Settings'!$G$15-'Analysis Settings'!$F$15),('Raw Data (0-4 Scores)'!J46-'Analysis Settings'!$F$15)/('Analysis Settings'!$F$15-'Analysis Settings'!$E$15)))))</f>
        <v>0.63632374540102199</v>
      </c>
      <c r="D46" s="22">
        <f>IF('Raw Data (0-4 Scores)'!K46='Analysis Settings'!$F$16,'Analysis Settings'!$B$9,1/(1+EXP(-'Analysis Settings'!$B$8*IF('Raw Data (0-4 Scores)'!K46&gt;'Analysis Settings'!$F$16,('Raw Data (0-4 Scores)'!K46-'Analysis Settings'!$F$16)/('Analysis Settings'!$G$16-'Analysis Settings'!$F$16),('Raw Data (0-4 Scores)'!K46-'Analysis Settings'!$F$16)/('Analysis Settings'!$F$16-'Analysis Settings'!$E$16)))))</f>
        <v>6.9713001622540655E-2</v>
      </c>
      <c r="E46" s="22">
        <f>IF('Raw Data (0-4 Scores)'!L46='Analysis Settings'!$F$17,'Analysis Settings'!$B$9,1/(1+EXP(-'Analysis Settings'!$B$8*IF('Raw Data (0-4 Scores)'!L46&gt;'Analysis Settings'!$F$17,('Raw Data (0-4 Scores)'!L46-'Analysis Settings'!$F$17)/('Analysis Settings'!$G$17-'Analysis Settings'!$F$17),('Raw Data (0-4 Scores)'!L46-'Analysis Settings'!$F$17)/('Analysis Settings'!$F$17-'Analysis Settings'!$E$17)))))</f>
        <v>0.96227157328992696</v>
      </c>
      <c r="F46" s="22">
        <f>IF('Raw Data (0-4 Scores)'!M46='Analysis Settings'!$F$18,'Analysis Settings'!$B$9,1/(1+EXP(-'Analysis Settings'!$B$8*IF('Raw Data (0-4 Scores)'!M46&gt;'Analysis Settings'!$F$18,('Raw Data (0-4 Scores)'!M46-'Analysis Settings'!$F$18)/('Analysis Settings'!$G$18-'Analysis Settings'!$F$18),('Raw Data (0-4 Scores)'!M46-'Analysis Settings'!$F$18)/('Analysis Settings'!$F$18-'Analysis Settings'!$E$18)))))</f>
        <v>0.78007590432768892</v>
      </c>
      <c r="G46" s="22">
        <f>IF('Raw Data (0-4 Scores)'!N46='Analysis Settings'!$F$19,'Analysis Settings'!$B$9,1/(1+EXP(-'Analysis Settings'!$B$8*IF('Raw Data (0-4 Scores)'!N46&gt;'Analysis Settings'!$F$19,('Raw Data (0-4 Scores)'!N46-'Analysis Settings'!$F$19)/('Analysis Settings'!$G$19-'Analysis Settings'!$F$19),('Raw Data (0-4 Scores)'!N46-'Analysis Settings'!$F$19)/('Analysis Settings'!$F$19-'Analysis Settings'!$E$19)))))</f>
        <v>0.99723756906077354</v>
      </c>
      <c r="H46" s="22">
        <f>IF('Raw Data (0-4 Scores)'!O46='Analysis Settings'!$F$20,'Analysis Settings'!$B$9,1/(1+EXP(-'Analysis Settings'!$B$8*IF('Raw Data (0-4 Scores)'!O46&gt;'Analysis Settings'!$F$20,('Raw Data (0-4 Scores)'!O46-'Analysis Settings'!$F$20)/('Analysis Settings'!$G$20-'Analysis Settings'!$F$20),('Raw Data (0-4 Scores)'!O46-'Analysis Settings'!$F$20)/('Analysis Settings'!$F$20-'Analysis Settings'!$E$20)))))</f>
        <v>0.7537821731445562</v>
      </c>
      <c r="I46" s="22">
        <f>IF('Raw Data (0-4 Scores)'!P46='Analysis Settings'!$F$21,'Analysis Settings'!$B$9,1/(1+EXP(-'Analysis Settings'!$B$8*IF('Raw Data (0-4 Scores)'!P46&gt;'Analysis Settings'!$F$21,('Raw Data (0-4 Scores)'!P46-'Analysis Settings'!$F$21)/('Analysis Settings'!$G$21-'Analysis Settings'!$F$21),('Raw Data (0-4 Scores)'!P46-'Analysis Settings'!$F$21)/('Analysis Settings'!$F$21-'Analysis Settings'!$E$21)))))</f>
        <v>0.95138022090573837</v>
      </c>
      <c r="J46" s="22">
        <f t="shared" si="1"/>
        <v>4.8619779094261628E-2</v>
      </c>
    </row>
    <row r="47" spans="1:10" ht="15" customHeight="1" x14ac:dyDescent="0.3">
      <c r="A47" s="20" t="str">
        <f>'Raw Data (0-4 Scores)'!A47</f>
        <v>Marvell Technology</v>
      </c>
      <c r="B47" s="20">
        <f>'Raw Data (0-4 Scores)'!E47</f>
        <v>2023</v>
      </c>
      <c r="C47" s="22">
        <f>IF('Raw Data (0-4 Scores)'!J47='Analysis Settings'!$F$15,'Analysis Settings'!$B$9,1/(1+EXP(-'Analysis Settings'!$B$8*IF('Raw Data (0-4 Scores)'!J47&gt;'Analysis Settings'!$F$15,('Raw Data (0-4 Scores)'!J47-'Analysis Settings'!$F$15)/('Analysis Settings'!$G$15-'Analysis Settings'!$F$15),('Raw Data (0-4 Scores)'!J47-'Analysis Settings'!$F$15)/('Analysis Settings'!$F$15-'Analysis Settings'!$E$15)))))</f>
        <v>0.99334392025632356</v>
      </c>
      <c r="D47" s="22">
        <f>IF('Raw Data (0-4 Scores)'!K47='Analysis Settings'!$F$16,'Analysis Settings'!$B$9,1/(1+EXP(-'Analysis Settings'!$B$8*IF('Raw Data (0-4 Scores)'!K47&gt;'Analysis Settings'!$F$16,('Raw Data (0-4 Scores)'!K47-'Analysis Settings'!$F$16)/('Analysis Settings'!$G$16-'Analysis Settings'!$F$16),('Raw Data (0-4 Scores)'!K47-'Analysis Settings'!$F$16)/('Analysis Settings'!$F$16-'Analysis Settings'!$E$16)))))</f>
        <v>7.7036748015770927E-3</v>
      </c>
      <c r="E47" s="22">
        <f>IF('Raw Data (0-4 Scores)'!L47='Analysis Settings'!$F$17,'Analysis Settings'!$B$9,1/(1+EXP(-'Analysis Settings'!$B$8*IF('Raw Data (0-4 Scores)'!L47&gt;'Analysis Settings'!$F$17,('Raw Data (0-4 Scores)'!L47-'Analysis Settings'!$F$17)/('Analysis Settings'!$G$17-'Analysis Settings'!$F$17),('Raw Data (0-4 Scores)'!L47-'Analysis Settings'!$F$17)/('Analysis Settings'!$F$17-'Analysis Settings'!$E$17)))))</f>
        <v>0.4852820582066058</v>
      </c>
      <c r="F47" s="22">
        <f>IF('Raw Data (0-4 Scores)'!M47='Analysis Settings'!$F$18,'Analysis Settings'!$B$9,1/(1+EXP(-'Analysis Settings'!$B$8*IF('Raw Data (0-4 Scores)'!M47&gt;'Analysis Settings'!$F$18,('Raw Data (0-4 Scores)'!M47-'Analysis Settings'!$F$18)/('Analysis Settings'!$G$18-'Analysis Settings'!$F$18),('Raw Data (0-4 Scores)'!M47-'Analysis Settings'!$F$18)/('Analysis Settings'!$F$18-'Analysis Settings'!$E$18)))))</f>
        <v>0.21491436562643262</v>
      </c>
      <c r="G47" s="22">
        <f>IF('Raw Data (0-4 Scores)'!N47='Analysis Settings'!$F$19,'Analysis Settings'!$B$9,1/(1+EXP(-'Analysis Settings'!$B$8*IF('Raw Data (0-4 Scores)'!N47&gt;'Analysis Settings'!$F$19,('Raw Data (0-4 Scores)'!N47-'Analysis Settings'!$F$19)/('Analysis Settings'!$G$19-'Analysis Settings'!$F$19),('Raw Data (0-4 Scores)'!N47-'Analysis Settings'!$F$19)/('Analysis Settings'!$F$19-'Analysis Settings'!$E$19)))))</f>
        <v>0.38435349916488876</v>
      </c>
      <c r="H47" s="22">
        <f>IF('Raw Data (0-4 Scores)'!O47='Analysis Settings'!$F$20,'Analysis Settings'!$B$9,1/(1+EXP(-'Analysis Settings'!$B$8*IF('Raw Data (0-4 Scores)'!O47&gt;'Analysis Settings'!$F$20,('Raw Data (0-4 Scores)'!O47-'Analysis Settings'!$F$20)/('Analysis Settings'!$G$20-'Analysis Settings'!$F$20),('Raw Data (0-4 Scores)'!O47-'Analysis Settings'!$F$20)/('Analysis Settings'!$F$20-'Analysis Settings'!$E$20)))))</f>
        <v>4.4692971251104087E-2</v>
      </c>
      <c r="I47" s="22">
        <f>IF('Raw Data (0-4 Scores)'!P47='Analysis Settings'!$F$21,'Analysis Settings'!$B$9,1/(1+EXP(-'Analysis Settings'!$B$8*IF('Raw Data (0-4 Scores)'!P47&gt;'Analysis Settings'!$F$21,('Raw Data (0-4 Scores)'!P47-'Analysis Settings'!$F$21)/('Analysis Settings'!$G$21-'Analysis Settings'!$F$21),('Raw Data (0-4 Scores)'!P47-'Analysis Settings'!$F$21)/('Analysis Settings'!$F$21-'Analysis Settings'!$E$21)))))</f>
        <v>0.94090926908265249</v>
      </c>
      <c r="J47" s="22">
        <f t="shared" si="1"/>
        <v>5.9090730917347511E-2</v>
      </c>
    </row>
    <row r="48" spans="1:10" ht="15" customHeight="1" x14ac:dyDescent="0.3">
      <c r="A48" s="20" t="str">
        <f>'Raw Data (0-4 Scores)'!A48</f>
        <v>Marvell Technology</v>
      </c>
      <c r="B48" s="20">
        <f>'Raw Data (0-4 Scores)'!E48</f>
        <v>2024</v>
      </c>
      <c r="C48" s="22">
        <f>IF('Raw Data (0-4 Scores)'!J48='Analysis Settings'!$F$15,'Analysis Settings'!$B$9,1/(1+EXP(-'Analysis Settings'!$B$8*IF('Raw Data (0-4 Scores)'!J48&gt;'Analysis Settings'!$F$15,('Raw Data (0-4 Scores)'!J48-'Analysis Settings'!$F$15)/('Analysis Settings'!$G$15-'Analysis Settings'!$F$15),('Raw Data (0-4 Scores)'!J48-'Analysis Settings'!$F$15)/('Analysis Settings'!$F$15-'Analysis Settings'!$E$15)))))</f>
        <v>0.9947334608459798</v>
      </c>
      <c r="D48" s="22">
        <f>IF('Raw Data (0-4 Scores)'!K48='Analysis Settings'!$F$16,'Analysis Settings'!$B$9,1/(1+EXP(-'Analysis Settings'!$B$8*IF('Raw Data (0-4 Scores)'!K48&gt;'Analysis Settings'!$F$16,('Raw Data (0-4 Scores)'!K48-'Analysis Settings'!$F$16)/('Analysis Settings'!$G$16-'Analysis Settings'!$F$16),('Raw Data (0-4 Scores)'!K48-'Analysis Settings'!$F$16)/('Analysis Settings'!$F$16-'Analysis Settings'!$E$16)))))</f>
        <v>7.3630248921681504E-2</v>
      </c>
      <c r="E48" s="22">
        <f>IF('Raw Data (0-4 Scores)'!L48='Analysis Settings'!$F$17,'Analysis Settings'!$B$9,1/(1+EXP(-'Analysis Settings'!$B$8*IF('Raw Data (0-4 Scores)'!L48&gt;'Analysis Settings'!$F$17,('Raw Data (0-4 Scores)'!L48-'Analysis Settings'!$F$17)/('Analysis Settings'!$G$17-'Analysis Settings'!$F$17),('Raw Data (0-4 Scores)'!L48-'Analysis Settings'!$F$17)/('Analysis Settings'!$F$17-'Analysis Settings'!$E$17)))))</f>
        <v>0.4852820582066058</v>
      </c>
      <c r="F48" s="22">
        <f>IF('Raw Data (0-4 Scores)'!M48='Analysis Settings'!$F$18,'Analysis Settings'!$B$9,1/(1+EXP(-'Analysis Settings'!$B$8*IF('Raw Data (0-4 Scores)'!M48&gt;'Analysis Settings'!$F$18,('Raw Data (0-4 Scores)'!M48-'Analysis Settings'!$F$18)/('Analysis Settings'!$G$18-'Analysis Settings'!$F$18),('Raw Data (0-4 Scores)'!M48-'Analysis Settings'!$F$18)/('Analysis Settings'!$F$18-'Analysis Settings'!$E$18)))))</f>
        <v>0.51471794179339414</v>
      </c>
      <c r="G48" s="22">
        <f>IF('Raw Data (0-4 Scores)'!N48='Analysis Settings'!$F$19,'Analysis Settings'!$B$9,1/(1+EXP(-'Analysis Settings'!$B$8*IF('Raw Data (0-4 Scores)'!N48&gt;'Analysis Settings'!$F$19,('Raw Data (0-4 Scores)'!N48-'Analysis Settings'!$F$19)/('Analysis Settings'!$G$19-'Analysis Settings'!$F$19),('Raw Data (0-4 Scores)'!N48-'Analysis Settings'!$F$19)/('Analysis Settings'!$F$19-'Analysis Settings'!$E$19)))))</f>
        <v>0.49263943432815055</v>
      </c>
      <c r="H48" s="22">
        <f>IF('Raw Data (0-4 Scores)'!O48='Analysis Settings'!$F$20,'Analysis Settings'!$B$9,1/(1+EXP(-'Analysis Settings'!$B$8*IF('Raw Data (0-4 Scores)'!O48&gt;'Analysis Settings'!$F$20,('Raw Data (0-4 Scores)'!O48-'Analysis Settings'!$F$20)/('Analysis Settings'!$G$20-'Analysis Settings'!$F$20),('Raw Data (0-4 Scores)'!O48-'Analysis Settings'!$F$20)/('Analysis Settings'!$F$20-'Analysis Settings'!$E$20)))))</f>
        <v>2.6799274123128488E-2</v>
      </c>
      <c r="I48" s="22">
        <f>IF('Raw Data (0-4 Scores)'!P48='Analysis Settings'!$F$21,'Analysis Settings'!$B$9,1/(1+EXP(-'Analysis Settings'!$B$8*IF('Raw Data (0-4 Scores)'!P48&gt;'Analysis Settings'!$F$21,('Raw Data (0-4 Scores)'!P48-'Analysis Settings'!$F$21)/('Analysis Settings'!$G$21-'Analysis Settings'!$F$21),('Raw Data (0-4 Scores)'!P48-'Analysis Settings'!$F$21)/('Analysis Settings'!$F$21-'Analysis Settings'!$E$21)))))</f>
        <v>0.93754882943765827</v>
      </c>
      <c r="J48" s="22">
        <f t="shared" si="1"/>
        <v>6.2451170562341729E-2</v>
      </c>
    </row>
    <row r="49" spans="1:10" ht="15" customHeight="1" x14ac:dyDescent="0.3">
      <c r="A49" s="20" t="str">
        <f>'Raw Data (0-4 Scores)'!A49</f>
        <v>Marvell Technology</v>
      </c>
      <c r="B49" s="20">
        <f>'Raw Data (0-4 Scores)'!E49</f>
        <v>2025</v>
      </c>
      <c r="C49" s="22">
        <f>IF('Raw Data (0-4 Scores)'!J49='Analysis Settings'!$F$15,'Analysis Settings'!$B$9,1/(1+EXP(-'Analysis Settings'!$B$8*IF('Raw Data (0-4 Scores)'!J49&gt;'Analysis Settings'!$F$15,('Raw Data (0-4 Scores)'!J49-'Analysis Settings'!$F$15)/('Analysis Settings'!$G$15-'Analysis Settings'!$F$15),('Raw Data (0-4 Scores)'!J49-'Analysis Settings'!$F$15)/('Analysis Settings'!$F$15-'Analysis Settings'!$E$15)))))</f>
        <v>0.99723756906077354</v>
      </c>
      <c r="D49" s="22">
        <f>IF('Raw Data (0-4 Scores)'!K49='Analysis Settings'!$F$16,'Analysis Settings'!$B$9,1/(1+EXP(-'Analysis Settings'!$B$8*IF('Raw Data (0-4 Scores)'!K49&gt;'Analysis Settings'!$F$16,('Raw Data (0-4 Scores)'!K49-'Analysis Settings'!$F$16)/('Analysis Settings'!$G$16-'Analysis Settings'!$F$16),('Raw Data (0-4 Scores)'!K49-'Analysis Settings'!$F$16)/('Analysis Settings'!$F$16-'Analysis Settings'!$E$16)))))</f>
        <v>7.1646923729970266E-2</v>
      </c>
      <c r="E49" s="22">
        <f>IF('Raw Data (0-4 Scores)'!L49='Analysis Settings'!$F$17,'Analysis Settings'!$B$9,1/(1+EXP(-'Analysis Settings'!$B$8*IF('Raw Data (0-4 Scores)'!L49&gt;'Analysis Settings'!$F$17,('Raw Data (0-4 Scores)'!L49-'Analysis Settings'!$F$17)/('Analysis Settings'!$G$17-'Analysis Settings'!$F$17),('Raw Data (0-4 Scores)'!L49-'Analysis Settings'!$F$17)/('Analysis Settings'!$F$17-'Analysis Settings'!$E$17)))))</f>
        <v>0.66311816366696197</v>
      </c>
      <c r="F49" s="22">
        <f>IF('Raw Data (0-4 Scores)'!M49='Analysis Settings'!$F$18,'Analysis Settings'!$B$9,1/(1+EXP(-'Analysis Settings'!$B$8*IF('Raw Data (0-4 Scores)'!M49&gt;'Analysis Settings'!$F$18,('Raw Data (0-4 Scores)'!M49-'Analysis Settings'!$F$18)/('Analysis Settings'!$G$18-'Analysis Settings'!$F$18),('Raw Data (0-4 Scores)'!M49-'Analysis Settings'!$F$18)/('Analysis Settings'!$F$18-'Analysis Settings'!$E$18)))))</f>
        <v>0.76454761353770029</v>
      </c>
      <c r="G49" s="22">
        <f>IF('Raw Data (0-4 Scores)'!N49='Analysis Settings'!$F$19,'Analysis Settings'!$B$9,1/(1+EXP(-'Analysis Settings'!$B$8*IF('Raw Data (0-4 Scores)'!N49&gt;'Analysis Settings'!$F$19,('Raw Data (0-4 Scores)'!N49-'Analysis Settings'!$F$19)/('Analysis Settings'!$G$19-'Analysis Settings'!$F$19),('Raw Data (0-4 Scores)'!N49-'Analysis Settings'!$F$19)/('Analysis Settings'!$F$19-'Analysis Settings'!$E$19)))))</f>
        <v>0.76454761353770029</v>
      </c>
      <c r="H49" s="22">
        <f>IF('Raw Data (0-4 Scores)'!O49='Analysis Settings'!$F$20,'Analysis Settings'!$B$9,1/(1+EXP(-'Analysis Settings'!$B$8*IF('Raw Data (0-4 Scores)'!O49&gt;'Analysis Settings'!$F$20,('Raw Data (0-4 Scores)'!O49-'Analysis Settings'!$F$20)/('Analysis Settings'!$G$20-'Analysis Settings'!$F$20),('Raw Data (0-4 Scores)'!O49-'Analysis Settings'!$F$20)/('Analysis Settings'!$F$20-'Analysis Settings'!$E$20)))))</f>
        <v>0.2301933127896624</v>
      </c>
      <c r="I49" s="22">
        <f>IF('Raw Data (0-4 Scores)'!P49='Analysis Settings'!$F$21,'Analysis Settings'!$B$9,1/(1+EXP(-'Analysis Settings'!$B$8*IF('Raw Data (0-4 Scores)'!P49&gt;'Analysis Settings'!$F$21,('Raw Data (0-4 Scores)'!P49-'Analysis Settings'!$F$21)/('Analysis Settings'!$G$21-'Analysis Settings'!$F$21),('Raw Data (0-4 Scores)'!P49-'Analysis Settings'!$F$21)/('Analysis Settings'!$F$21-'Analysis Settings'!$E$21)))))</f>
        <v>0.9767843096988541</v>
      </c>
      <c r="J49" s="22">
        <f t="shared" si="1"/>
        <v>2.3215690301145897E-2</v>
      </c>
    </row>
    <row r="50" spans="1:10" ht="15" customHeight="1" x14ac:dyDescent="0.3">
      <c r="A50" s="20" t="str">
        <f>'Raw Data (0-4 Scores)'!A50</f>
        <v>MediaTek Inc.</v>
      </c>
      <c r="B50" s="20">
        <f>'Raw Data (0-4 Scores)'!E50</f>
        <v>2023</v>
      </c>
      <c r="C50" s="22">
        <f>IF('Raw Data (0-4 Scores)'!J50='Analysis Settings'!$F$15,'Analysis Settings'!$B$9,1/(1+EXP(-'Analysis Settings'!$B$8*IF('Raw Data (0-4 Scores)'!J50&gt;'Analysis Settings'!$F$15,('Raw Data (0-4 Scores)'!J50-'Analysis Settings'!$F$15)/('Analysis Settings'!$G$15-'Analysis Settings'!$F$15),('Raw Data (0-4 Scores)'!J50-'Analysis Settings'!$F$15)/('Analysis Settings'!$F$15-'Analysis Settings'!$E$15)))))</f>
        <v>0.99273368460282141</v>
      </c>
      <c r="D50" s="22">
        <f>IF('Raw Data (0-4 Scores)'!K50='Analysis Settings'!$F$16,'Analysis Settings'!$B$9,1/(1+EXP(-'Analysis Settings'!$B$8*IF('Raw Data (0-4 Scores)'!K50&gt;'Analysis Settings'!$F$16,('Raw Data (0-4 Scores)'!K50-'Analysis Settings'!$F$16)/('Analysis Settings'!$G$16-'Analysis Settings'!$F$16),('Raw Data (0-4 Scores)'!K50-'Analysis Settings'!$F$16)/('Analysis Settings'!$F$16-'Analysis Settings'!$E$16)))))</f>
        <v>0.26297678305924121</v>
      </c>
      <c r="E50" s="22">
        <f>IF('Raw Data (0-4 Scores)'!L50='Analysis Settings'!$F$17,'Analysis Settings'!$B$9,1/(1+EXP(-'Analysis Settings'!$B$8*IF('Raw Data (0-4 Scores)'!L50&gt;'Analysis Settings'!$F$17,('Raw Data (0-4 Scores)'!L50-'Analysis Settings'!$F$17)/('Analysis Settings'!$G$17-'Analysis Settings'!$F$17),('Raw Data (0-4 Scores)'!L50-'Analysis Settings'!$F$17)/('Analysis Settings'!$F$17-'Analysis Settings'!$E$17)))))</f>
        <v>0.9243359983415621</v>
      </c>
      <c r="F50" s="22">
        <f>IF('Raw Data (0-4 Scores)'!M50='Analysis Settings'!$F$18,'Analysis Settings'!$B$9,1/(1+EXP(-'Analysis Settings'!$B$8*IF('Raw Data (0-4 Scores)'!M50&gt;'Analysis Settings'!$F$18,('Raw Data (0-4 Scores)'!M50-'Analysis Settings'!$F$18)/('Analysis Settings'!$G$18-'Analysis Settings'!$F$18),('Raw Data (0-4 Scores)'!M50-'Analysis Settings'!$F$18)/('Analysis Settings'!$F$18-'Analysis Settings'!$E$18)))))</f>
        <v>0.35016086473629304</v>
      </c>
      <c r="G50" s="22">
        <f>IF('Raw Data (0-4 Scores)'!N50='Analysis Settings'!$F$19,'Analysis Settings'!$B$9,1/(1+EXP(-'Analysis Settings'!$B$8*IF('Raw Data (0-4 Scores)'!N50&gt;'Analysis Settings'!$F$19,('Raw Data (0-4 Scores)'!N50-'Analysis Settings'!$F$19)/('Analysis Settings'!$G$19-'Analysis Settings'!$F$19),('Raw Data (0-4 Scores)'!N50-'Analysis Settings'!$F$19)/('Analysis Settings'!$F$19-'Analysis Settings'!$E$19)))))</f>
        <v>0.18217749321889848</v>
      </c>
      <c r="H50" s="22">
        <f>IF('Raw Data (0-4 Scores)'!O50='Analysis Settings'!$F$20,'Analysis Settings'!$B$9,1/(1+EXP(-'Analysis Settings'!$B$8*IF('Raw Data (0-4 Scores)'!O50&gt;'Analysis Settings'!$F$20,('Raw Data (0-4 Scores)'!O50-'Analysis Settings'!$F$20)/('Analysis Settings'!$G$20-'Analysis Settings'!$F$20),('Raw Data (0-4 Scores)'!O50-'Analysis Settings'!$F$20)/('Analysis Settings'!$F$20-'Analysis Settings'!$E$20)))))</f>
        <v>0.26872338491523451</v>
      </c>
      <c r="I50" s="22">
        <f>IF('Raw Data (0-4 Scores)'!P50='Analysis Settings'!$F$21,'Analysis Settings'!$B$9,1/(1+EXP(-'Analysis Settings'!$B$8*IF('Raw Data (0-4 Scores)'!P50&gt;'Analysis Settings'!$F$21,('Raw Data (0-4 Scores)'!P50-'Analysis Settings'!$F$21)/('Analysis Settings'!$G$21-'Analysis Settings'!$F$21),('Raw Data (0-4 Scores)'!P50-'Analysis Settings'!$F$21)/('Analysis Settings'!$F$21-'Analysis Settings'!$E$21)))))</f>
        <v>0.42691627703872076</v>
      </c>
      <c r="J50" s="22">
        <f t="shared" si="1"/>
        <v>0.42691627703872076</v>
      </c>
    </row>
    <row r="51" spans="1:10" ht="15" customHeight="1" x14ac:dyDescent="0.3">
      <c r="A51" s="20" t="str">
        <f>'Raw Data (0-4 Scores)'!A51</f>
        <v>MediaTek Inc.</v>
      </c>
      <c r="B51" s="20">
        <f>'Raw Data (0-4 Scores)'!E51</f>
        <v>2024</v>
      </c>
      <c r="C51" s="22">
        <f>IF('Raw Data (0-4 Scores)'!J51='Analysis Settings'!$F$15,'Analysis Settings'!$B$9,1/(1+EXP(-'Analysis Settings'!$B$8*IF('Raw Data (0-4 Scores)'!J51&gt;'Analysis Settings'!$F$15,('Raw Data (0-4 Scores)'!J51-'Analysis Settings'!$F$15)/('Analysis Settings'!$G$15-'Analysis Settings'!$F$15),('Raw Data (0-4 Scores)'!J51-'Analysis Settings'!$F$15)/('Analysis Settings'!$F$15-'Analysis Settings'!$E$15)))))</f>
        <v>0.99723756906077354</v>
      </c>
      <c r="D51" s="22">
        <f>IF('Raw Data (0-4 Scores)'!K51='Analysis Settings'!$F$16,'Analysis Settings'!$B$9,1/(1+EXP(-'Analysis Settings'!$B$8*IF('Raw Data (0-4 Scores)'!K51&gt;'Analysis Settings'!$F$16,('Raw Data (0-4 Scores)'!K51-'Analysis Settings'!$F$16)/('Analysis Settings'!$G$16-'Analysis Settings'!$F$16),('Raw Data (0-4 Scores)'!K51-'Analysis Settings'!$F$16)/('Analysis Settings'!$F$16-'Analysis Settings'!$E$16)))))</f>
        <v>0.54405206850190257</v>
      </c>
      <c r="E51" s="22">
        <f>IF('Raw Data (0-4 Scores)'!L51='Analysis Settings'!$F$17,'Analysis Settings'!$B$9,1/(1+EXP(-'Analysis Settings'!$B$8*IF('Raw Data (0-4 Scores)'!L51&gt;'Analysis Settings'!$F$17,('Raw Data (0-4 Scores)'!L51-'Analysis Settings'!$F$17)/('Analysis Settings'!$G$17-'Analysis Settings'!$F$17),('Raw Data (0-4 Scores)'!L51-'Analysis Settings'!$F$17)/('Analysis Settings'!$F$17-'Analysis Settings'!$E$17)))))</f>
        <v>0.87471749304213675</v>
      </c>
      <c r="F51" s="22">
        <f>IF('Raw Data (0-4 Scores)'!M51='Analysis Settings'!$F$18,'Analysis Settings'!$B$9,1/(1+EXP(-'Analysis Settings'!$B$8*IF('Raw Data (0-4 Scores)'!M51&gt;'Analysis Settings'!$F$18,('Raw Data (0-4 Scores)'!M51-'Analysis Settings'!$F$18)/('Analysis Settings'!$G$18-'Analysis Settings'!$F$18),('Raw Data (0-4 Scores)'!M51-'Analysis Settings'!$F$18)/('Analysis Settings'!$F$18-'Analysis Settings'!$E$18)))))</f>
        <v>0.37741033837683791</v>
      </c>
      <c r="G51" s="22">
        <f>IF('Raw Data (0-4 Scores)'!N51='Analysis Settings'!$F$19,'Analysis Settings'!$B$9,1/(1+EXP(-'Analysis Settings'!$B$8*IF('Raw Data (0-4 Scores)'!N51&gt;'Analysis Settings'!$F$19,('Raw Data (0-4 Scores)'!N51-'Analysis Settings'!$F$19)/('Analysis Settings'!$G$19-'Analysis Settings'!$F$19),('Raw Data (0-4 Scores)'!N51-'Analysis Settings'!$F$19)/('Analysis Settings'!$F$19-'Analysis Settings'!$E$19)))))</f>
        <v>0.4779310556595604</v>
      </c>
      <c r="H51" s="22">
        <f>IF('Raw Data (0-4 Scores)'!O51='Analysis Settings'!$F$20,'Analysis Settings'!$B$9,1/(1+EXP(-'Analysis Settings'!$B$8*IF('Raw Data (0-4 Scores)'!O51&gt;'Analysis Settings'!$F$20,('Raw Data (0-4 Scores)'!O51-'Analysis Settings'!$F$20)/('Analysis Settings'!$G$20-'Analysis Settings'!$F$20),('Raw Data (0-4 Scores)'!O51-'Analysis Settings'!$F$20)/('Analysis Settings'!$F$20-'Analysis Settings'!$E$20)))))</f>
        <v>0.58027156428107285</v>
      </c>
      <c r="I51" s="22">
        <f>IF('Raw Data (0-4 Scores)'!P51='Analysis Settings'!$F$21,'Analysis Settings'!$B$9,1/(1+EXP(-'Analysis Settings'!$B$8*IF('Raw Data (0-4 Scores)'!P51&gt;'Analysis Settings'!$F$21,('Raw Data (0-4 Scores)'!P51-'Analysis Settings'!$F$21)/('Analysis Settings'!$G$21-'Analysis Settings'!$F$21),('Raw Data (0-4 Scores)'!P51-'Analysis Settings'!$F$21)/('Analysis Settings'!$F$21-'Analysis Settings'!$E$21)))))</f>
        <v>0.49263943432815055</v>
      </c>
      <c r="J51" s="22">
        <f t="shared" si="1"/>
        <v>0.49263943432815055</v>
      </c>
    </row>
    <row r="52" spans="1:10" ht="15" customHeight="1" x14ac:dyDescent="0.3">
      <c r="A52" s="20" t="str">
        <f>'Raw Data (0-4 Scores)'!A52</f>
        <v>MediaTek Inc.</v>
      </c>
      <c r="B52" s="20">
        <f>'Raw Data (0-4 Scores)'!E52</f>
        <v>2025</v>
      </c>
      <c r="C52" s="22">
        <f>IF('Raw Data (0-4 Scores)'!J52='Analysis Settings'!$F$15,'Analysis Settings'!$B$9,1/(1+EXP(-'Analysis Settings'!$B$8*IF('Raw Data (0-4 Scores)'!J52&gt;'Analysis Settings'!$F$15,('Raw Data (0-4 Scores)'!J52-'Analysis Settings'!$F$15)/('Analysis Settings'!$G$15-'Analysis Settings'!$F$15),('Raw Data (0-4 Scores)'!J52-'Analysis Settings'!$F$15)/('Analysis Settings'!$F$15-'Analysis Settings'!$E$15)))))</f>
        <v>0.99723756906077354</v>
      </c>
      <c r="D52" s="22">
        <f>IF('Raw Data (0-4 Scores)'!K52='Analysis Settings'!$F$16,'Analysis Settings'!$B$9,1/(1+EXP(-'Analysis Settings'!$B$8*IF('Raw Data (0-4 Scores)'!K52&gt;'Analysis Settings'!$F$16,('Raw Data (0-4 Scores)'!K52-'Analysis Settings'!$F$16)/('Analysis Settings'!$G$16-'Analysis Settings'!$F$16),('Raw Data (0-4 Scores)'!K52-'Analysis Settings'!$F$16)/('Analysis Settings'!$F$16-'Analysis Settings'!$E$16)))))</f>
        <v>0.82216840935503699</v>
      </c>
      <c r="E52" s="22">
        <f>IF('Raw Data (0-4 Scores)'!L52='Analysis Settings'!$F$17,'Analysis Settings'!$B$9,1/(1+EXP(-'Analysis Settings'!$B$8*IF('Raw Data (0-4 Scores)'!L52&gt;'Analysis Settings'!$F$17,('Raw Data (0-4 Scores)'!L52-'Analysis Settings'!$F$17)/('Analysis Settings'!$G$17-'Analysis Settings'!$F$17),('Raw Data (0-4 Scores)'!L52-'Analysis Settings'!$F$17)/('Analysis Settings'!$F$17-'Analysis Settings'!$E$17)))))</f>
        <v>0.97242199065654311</v>
      </c>
      <c r="F52" s="22">
        <f>IF('Raw Data (0-4 Scores)'!M52='Analysis Settings'!$F$18,'Analysis Settings'!$B$9,1/(1+EXP(-'Analysis Settings'!$B$8*IF('Raw Data (0-4 Scores)'!M52&gt;'Analysis Settings'!$F$18,('Raw Data (0-4 Scores)'!M52-'Analysis Settings'!$F$18)/('Analysis Settings'!$G$18-'Analysis Settings'!$F$18),('Raw Data (0-4 Scores)'!M52-'Analysis Settings'!$F$18)/('Analysis Settings'!$F$18-'Analysis Settings'!$E$18)))))</f>
        <v>0.86123101029538174</v>
      </c>
      <c r="G52" s="22">
        <f>IF('Raw Data (0-4 Scores)'!N52='Analysis Settings'!$F$19,'Analysis Settings'!$B$9,1/(1+EXP(-'Analysis Settings'!$B$8*IF('Raw Data (0-4 Scores)'!N52&gt;'Analysis Settings'!$F$19,('Raw Data (0-4 Scores)'!N52-'Analysis Settings'!$F$19)/('Analysis Settings'!$G$19-'Analysis Settings'!$F$19),('Raw Data (0-4 Scores)'!N52-'Analysis Settings'!$F$19)/('Analysis Settings'!$F$19-'Analysis Settings'!$E$19)))))</f>
        <v>0.804290752573395</v>
      </c>
      <c r="H52" s="22">
        <f>IF('Raw Data (0-4 Scores)'!O52='Analysis Settings'!$F$20,'Analysis Settings'!$B$9,1/(1+EXP(-'Analysis Settings'!$B$8*IF('Raw Data (0-4 Scores)'!O52&gt;'Analysis Settings'!$F$20,('Raw Data (0-4 Scores)'!O52-'Analysis Settings'!$F$20)/('Analysis Settings'!$G$20-'Analysis Settings'!$F$20),('Raw Data (0-4 Scores)'!O52-'Analysis Settings'!$F$20)/('Analysis Settings'!$F$20-'Analysis Settings'!$E$20)))))</f>
        <v>0.52941040032067899</v>
      </c>
      <c r="I52" s="22">
        <f>IF('Raw Data (0-4 Scores)'!P52='Analysis Settings'!$F$21,'Analysis Settings'!$B$9,1/(1+EXP(-'Analysis Settings'!$B$8*IF('Raw Data (0-4 Scores)'!P52&gt;'Analysis Settings'!$F$21,('Raw Data (0-4 Scores)'!P52-'Analysis Settings'!$F$21)/('Analysis Settings'!$G$21-'Analysis Settings'!$F$21),('Raw Data (0-4 Scores)'!P52-'Analysis Settings'!$F$21)/('Analysis Settings'!$F$21-'Analysis Settings'!$E$21)))))</f>
        <v>0.83874041007701572</v>
      </c>
      <c r="J52" s="22">
        <f t="shared" si="1"/>
        <v>0.16125958992298428</v>
      </c>
    </row>
    <row r="53" spans="1:10" ht="15" customHeight="1" x14ac:dyDescent="0.3">
      <c r="A53" s="20" t="str">
        <f>'Raw Data (0-4 Scores)'!A53</f>
        <v>Microchip Technology</v>
      </c>
      <c r="B53" s="20">
        <f>'Raw Data (0-4 Scores)'!E53</f>
        <v>2023</v>
      </c>
      <c r="C53" s="22">
        <f>IF('Raw Data (0-4 Scores)'!J53='Analysis Settings'!$F$15,'Analysis Settings'!$B$9,1/(1+EXP(-'Analysis Settings'!$B$8*IF('Raw Data (0-4 Scores)'!J53&gt;'Analysis Settings'!$F$15,('Raw Data (0-4 Scores)'!J53-'Analysis Settings'!$F$15)/('Analysis Settings'!$G$15-'Analysis Settings'!$F$15),('Raw Data (0-4 Scores)'!J53-'Analysis Settings'!$F$15)/('Analysis Settings'!$F$15-'Analysis Settings'!$E$15)))))</f>
        <v>7.7036748015770927E-3</v>
      </c>
      <c r="D53" s="22">
        <f>IF('Raw Data (0-4 Scores)'!K53='Analysis Settings'!$F$16,'Analysis Settings'!$B$9,1/(1+EXP(-'Analysis Settings'!$B$8*IF('Raw Data (0-4 Scores)'!K53&gt;'Analysis Settings'!$F$16,('Raw Data (0-4 Scores)'!K53-'Analysis Settings'!$F$16)/('Analysis Settings'!$G$16-'Analysis Settings'!$F$16),('Raw Data (0-4 Scores)'!K53-'Analysis Settings'!$F$16)/('Analysis Settings'!$F$16-'Analysis Settings'!$E$16)))))</f>
        <v>1.952954927347255E-2</v>
      </c>
      <c r="E53" s="22">
        <f>IF('Raw Data (0-4 Scores)'!L53='Analysis Settings'!$F$17,'Analysis Settings'!$B$9,1/(1+EXP(-'Analysis Settings'!$B$8*IF('Raw Data (0-4 Scores)'!L53&gt;'Analysis Settings'!$F$17,('Raw Data (0-4 Scores)'!L53-'Analysis Settings'!$F$17)/('Analysis Settings'!$G$17-'Analysis Settings'!$F$17),('Raw Data (0-4 Scores)'!L53-'Analysis Settings'!$F$17)/('Analysis Settings'!$F$17-'Analysis Settings'!$E$17)))))</f>
        <v>0.9243359983415621</v>
      </c>
      <c r="F53" s="22">
        <f>IF('Raw Data (0-4 Scores)'!M53='Analysis Settings'!$F$18,'Analysis Settings'!$B$9,1/(1+EXP(-'Analysis Settings'!$B$8*IF('Raw Data (0-4 Scores)'!M53&gt;'Analysis Settings'!$F$18,('Raw Data (0-4 Scores)'!M53-'Analysis Settings'!$F$18)/('Analysis Settings'!$G$18-'Analysis Settings'!$F$18),('Raw Data (0-4 Scores)'!M53-'Analysis Settings'!$F$18)/('Analysis Settings'!$F$18-'Analysis Settings'!$E$18)))))</f>
        <v>0.12528250695786336</v>
      </c>
      <c r="G53" s="22">
        <f>IF('Raw Data (0-4 Scores)'!N53='Analysis Settings'!$F$19,'Analysis Settings'!$B$9,1/(1+EXP(-'Analysis Settings'!$B$8*IF('Raw Data (0-4 Scores)'!N53&gt;'Analysis Settings'!$F$19,('Raw Data (0-4 Scores)'!N53-'Analysis Settings'!$F$19)/('Analysis Settings'!$G$19-'Analysis Settings'!$F$19),('Raw Data (0-4 Scores)'!N53-'Analysis Settings'!$F$19)/('Analysis Settings'!$F$19-'Analysis Settings'!$E$19)))))</f>
        <v>0.501</v>
      </c>
      <c r="H53" s="22">
        <f>IF('Raw Data (0-4 Scores)'!O53='Analysis Settings'!$F$20,'Analysis Settings'!$B$9,1/(1+EXP(-'Analysis Settings'!$B$8*IF('Raw Data (0-4 Scores)'!O53&gt;'Analysis Settings'!$F$20,('Raw Data (0-4 Scores)'!O53-'Analysis Settings'!$F$20)/('Analysis Settings'!$G$20-'Analysis Settings'!$F$20),('Raw Data (0-4 Scores)'!O53-'Analysis Settings'!$F$20)/('Analysis Settings'!$F$20-'Analysis Settings'!$E$20)))))</f>
        <v>0.60865589704650891</v>
      </c>
      <c r="I53" s="22">
        <f>IF('Raw Data (0-4 Scores)'!P53='Analysis Settings'!$F$21,'Analysis Settings'!$B$9,1/(1+EXP(-'Analysis Settings'!$B$8*IF('Raw Data (0-4 Scores)'!P53&gt;'Analysis Settings'!$F$21,('Raw Data (0-4 Scores)'!P53-'Analysis Settings'!$F$21)/('Analysis Settings'!$G$21-'Analysis Settings'!$F$21),('Raw Data (0-4 Scores)'!P53-'Analysis Settings'!$F$21)/('Analysis Settings'!$F$21-'Analysis Settings'!$E$21)))))</f>
        <v>0.19111597627794122</v>
      </c>
      <c r="J53" s="22">
        <f t="shared" si="1"/>
        <v>0.19111597627794122</v>
      </c>
    </row>
    <row r="54" spans="1:10" ht="15" customHeight="1" x14ac:dyDescent="0.3">
      <c r="A54" s="20" t="str">
        <f>'Raw Data (0-4 Scores)'!A54</f>
        <v>Microchip Technology</v>
      </c>
      <c r="B54" s="20">
        <f>'Raw Data (0-4 Scores)'!E54</f>
        <v>2024</v>
      </c>
      <c r="C54" s="22">
        <f>IF('Raw Data (0-4 Scores)'!J54='Analysis Settings'!$F$15,'Analysis Settings'!$B$9,1/(1+EXP(-'Analysis Settings'!$B$8*IF('Raw Data (0-4 Scores)'!J54&gt;'Analysis Settings'!$F$15,('Raw Data (0-4 Scores)'!J54-'Analysis Settings'!$F$15)/('Analysis Settings'!$G$15-'Analysis Settings'!$F$15),('Raw Data (0-4 Scores)'!J54-'Analysis Settings'!$F$15)/('Analysis Settings'!$F$15-'Analysis Settings'!$E$15)))))</f>
        <v>6.2451170562341639E-2</v>
      </c>
      <c r="D54" s="22">
        <f>IF('Raw Data (0-4 Scores)'!K54='Analysis Settings'!$F$16,'Analysis Settings'!$B$9,1/(1+EXP(-'Analysis Settings'!$B$8*IF('Raw Data (0-4 Scores)'!K54&gt;'Analysis Settings'!$F$16,('Raw Data (0-4 Scores)'!K54-'Analysis Settings'!$F$16)/('Analysis Settings'!$G$16-'Analysis Settings'!$F$16),('Raw Data (0-4 Scores)'!K54-'Analysis Settings'!$F$16)/('Analysis Settings'!$F$16-'Analysis Settings'!$E$16)))))</f>
        <v>4.5967103748543979E-2</v>
      </c>
      <c r="E54" s="22">
        <f>IF('Raw Data (0-4 Scores)'!L54='Analysis Settings'!$F$17,'Analysis Settings'!$B$9,1/(1+EXP(-'Analysis Settings'!$B$8*IF('Raw Data (0-4 Scores)'!L54&gt;'Analysis Settings'!$F$17,('Raw Data (0-4 Scores)'!L54-'Analysis Settings'!$F$17)/('Analysis Settings'!$G$17-'Analysis Settings'!$F$17),('Raw Data (0-4 Scores)'!L54-'Analysis Settings'!$F$17)/('Analysis Settings'!$F$17-'Analysis Settings'!$E$17)))))</f>
        <v>0.88706514596723329</v>
      </c>
      <c r="F54" s="22">
        <f>IF('Raw Data (0-4 Scores)'!M54='Analysis Settings'!$F$18,'Analysis Settings'!$B$9,1/(1+EXP(-'Analysis Settings'!$B$8*IF('Raw Data (0-4 Scores)'!M54&gt;'Analysis Settings'!$F$18,('Raw Data (0-4 Scores)'!M54-'Analysis Settings'!$F$18)/('Analysis Settings'!$G$18-'Analysis Settings'!$F$18),('Raw Data (0-4 Scores)'!M54-'Analysis Settings'!$F$18)/('Analysis Settings'!$F$18-'Analysis Settings'!$E$18)))))</f>
        <v>0.4413820109527673</v>
      </c>
      <c r="G54" s="22">
        <f>IF('Raw Data (0-4 Scores)'!N54='Analysis Settings'!$F$19,'Analysis Settings'!$B$9,1/(1+EXP(-'Analysis Settings'!$B$8*IF('Raw Data (0-4 Scores)'!N54&gt;'Analysis Settings'!$F$19,('Raw Data (0-4 Scores)'!N54-'Analysis Settings'!$F$19)/('Analysis Settings'!$G$19-'Analysis Settings'!$F$19),('Raw Data (0-4 Scores)'!N54-'Analysis Settings'!$F$19)/('Analysis Settings'!$F$19-'Analysis Settings'!$E$19)))))</f>
        <v>0.58027156428107285</v>
      </c>
      <c r="H54" s="22">
        <f>IF('Raw Data (0-4 Scores)'!O54='Analysis Settings'!$F$20,'Analysis Settings'!$B$9,1/(1+EXP(-'Analysis Settings'!$B$8*IF('Raw Data (0-4 Scores)'!O54&gt;'Analysis Settings'!$F$20,('Raw Data (0-4 Scores)'!O54-'Analysis Settings'!$F$20)/('Analysis Settings'!$G$20-'Analysis Settings'!$F$20),('Raw Data (0-4 Scores)'!O54-'Analysis Settings'!$F$20)/('Analysis Settings'!$F$20-'Analysis Settings'!$E$20)))))</f>
        <v>0.42691627703872076</v>
      </c>
      <c r="I54" s="22">
        <f>IF('Raw Data (0-4 Scores)'!P54='Analysis Settings'!$F$21,'Analysis Settings'!$B$9,1/(1+EXP(-'Analysis Settings'!$B$8*IF('Raw Data (0-4 Scores)'!P54&gt;'Analysis Settings'!$F$21,('Raw Data (0-4 Scores)'!P54-'Analysis Settings'!$F$21)/('Analysis Settings'!$G$21-'Analysis Settings'!$F$21),('Raw Data (0-4 Scores)'!P54-'Analysis Settings'!$F$21)/('Analysis Settings'!$F$21-'Analysis Settings'!$E$21)))))</f>
        <v>0.39837957722426065</v>
      </c>
      <c r="J54" s="22">
        <f t="shared" si="1"/>
        <v>0.39837957722426065</v>
      </c>
    </row>
    <row r="55" spans="1:10" ht="15" customHeight="1" x14ac:dyDescent="0.3">
      <c r="A55" s="20" t="str">
        <f>'Raw Data (0-4 Scores)'!A55</f>
        <v>Microchip Technology</v>
      </c>
      <c r="B55" s="20">
        <f>'Raw Data (0-4 Scores)'!E55</f>
        <v>2025</v>
      </c>
      <c r="C55" s="22">
        <f>IF('Raw Data (0-4 Scores)'!J55='Analysis Settings'!$F$15,'Analysis Settings'!$B$9,1/(1+EXP(-'Analysis Settings'!$B$8*IF('Raw Data (0-4 Scores)'!J55&gt;'Analysis Settings'!$F$15,('Raw Data (0-4 Scores)'!J55-'Analysis Settings'!$F$15)/('Analysis Settings'!$G$15-'Analysis Settings'!$F$15),('Raw Data (0-4 Scores)'!J55-'Analysis Settings'!$F$15)/('Analysis Settings'!$F$15-'Analysis Settings'!$E$15)))))</f>
        <v>8.6625545088092101E-2</v>
      </c>
      <c r="D55" s="22">
        <f>IF('Raw Data (0-4 Scores)'!K55='Analysis Settings'!$F$16,'Analysis Settings'!$B$9,1/(1+EXP(-'Analysis Settings'!$B$8*IF('Raw Data (0-4 Scores)'!K55&gt;'Analysis Settings'!$F$16,('Raw Data (0-4 Scores)'!K55-'Analysis Settings'!$F$16)/('Analysis Settings'!$G$16-'Analysis Settings'!$F$16),('Raw Data (0-4 Scores)'!K55-'Analysis Settings'!$F$16)/('Analysis Settings'!$F$16-'Analysis Settings'!$E$16)))))</f>
        <v>0.14966651810737716</v>
      </c>
      <c r="E55" s="22">
        <f>IF('Raw Data (0-4 Scores)'!L55='Analysis Settings'!$F$17,'Analysis Settings'!$B$9,1/(1+EXP(-'Analysis Settings'!$B$8*IF('Raw Data (0-4 Scores)'!L55&gt;'Analysis Settings'!$F$17,('Raw Data (0-4 Scores)'!L55-'Analysis Settings'!$F$17)/('Analysis Settings'!$G$17-'Analysis Settings'!$F$17),('Raw Data (0-4 Scores)'!L55-'Analysis Settings'!$F$17)/('Analysis Settings'!$F$17-'Analysis Settings'!$E$17)))))</f>
        <v>0.95530702874889584</v>
      </c>
      <c r="F55" s="22">
        <f>IF('Raw Data (0-4 Scores)'!M55='Analysis Settings'!$F$18,'Analysis Settings'!$B$9,1/(1+EXP(-'Analysis Settings'!$B$8*IF('Raw Data (0-4 Scores)'!M55&gt;'Analysis Settings'!$F$18,('Raw Data (0-4 Scores)'!M55-'Analysis Settings'!$F$18)/('Analysis Settings'!$G$18-'Analysis Settings'!$F$18),('Raw Data (0-4 Scores)'!M55-'Analysis Settings'!$F$18)/('Analysis Settings'!$F$18-'Analysis Settings'!$E$18)))))</f>
        <v>0.42691627703872076</v>
      </c>
      <c r="G55" s="22">
        <f>IF('Raw Data (0-4 Scores)'!N55='Analysis Settings'!$F$19,'Analysis Settings'!$B$9,1/(1+EXP(-'Analysis Settings'!$B$8*IF('Raw Data (0-4 Scores)'!N55&gt;'Analysis Settings'!$F$19,('Raw Data (0-4 Scores)'!N55-'Analysis Settings'!$F$19)/('Analysis Settings'!$G$19-'Analysis Settings'!$F$19),('Raw Data (0-4 Scores)'!N55-'Analysis Settings'!$F$19)/('Analysis Settings'!$F$19-'Analysis Settings'!$E$19)))))</f>
        <v>0.87790876856116851</v>
      </c>
      <c r="H55" s="22">
        <f>IF('Raw Data (0-4 Scores)'!O55='Analysis Settings'!$F$20,'Analysis Settings'!$B$9,1/(1+EXP(-'Analysis Settings'!$B$8*IF('Raw Data (0-4 Scores)'!O55&gt;'Analysis Settings'!$F$20,('Raw Data (0-4 Scores)'!O55-'Analysis Settings'!$F$20)/('Analysis Settings'!$G$20-'Analysis Settings'!$F$20),('Raw Data (0-4 Scores)'!O55-'Analysis Settings'!$F$20)/('Analysis Settings'!$F$20-'Analysis Settings'!$E$20)))))</f>
        <v>0.84268329785062812</v>
      </c>
      <c r="I55" s="22">
        <f>IF('Raw Data (0-4 Scores)'!P55='Analysis Settings'!$F$21,'Analysis Settings'!$B$9,1/(1+EXP(-'Analysis Settings'!$B$8*IF('Raw Data (0-4 Scores)'!P55&gt;'Analysis Settings'!$F$21,('Raw Data (0-4 Scores)'!P55-'Analysis Settings'!$F$21)/('Analysis Settings'!$G$21-'Analysis Settings'!$F$21),('Raw Data (0-4 Scores)'!P55-'Analysis Settings'!$F$21)/('Analysis Settings'!$F$21-'Analysis Settings'!$E$21)))))</f>
        <v>0.49263943432815055</v>
      </c>
      <c r="J55" s="22">
        <f t="shared" si="1"/>
        <v>0.49263943432815055</v>
      </c>
    </row>
    <row r="56" spans="1:10" ht="15" customHeight="1" x14ac:dyDescent="0.3">
      <c r="A56" s="20" t="str">
        <f>'Raw Data (0-4 Scores)'!A56</f>
        <v>Micron Technology</v>
      </c>
      <c r="B56" s="20">
        <f>'Raw Data (0-4 Scores)'!E56</f>
        <v>2023</v>
      </c>
      <c r="C56" s="22">
        <f>IF('Raw Data (0-4 Scores)'!J56='Analysis Settings'!$F$15,'Analysis Settings'!$B$9,1/(1+EXP(-'Analysis Settings'!$B$8*IF('Raw Data (0-4 Scores)'!J56&gt;'Analysis Settings'!$F$15,('Raw Data (0-4 Scores)'!J56-'Analysis Settings'!$F$15)/('Analysis Settings'!$G$15-'Analysis Settings'!$F$15),('Raw Data (0-4 Scores)'!J56-'Analysis Settings'!$F$15)/('Analysis Settings'!$F$15-'Analysis Settings'!$E$15)))))</f>
        <v>0.64310991374259807</v>
      </c>
      <c r="D56" s="22">
        <f>IF('Raw Data (0-4 Scores)'!K56='Analysis Settings'!$F$16,'Analysis Settings'!$B$9,1/(1+EXP(-'Analysis Settings'!$B$8*IF('Raw Data (0-4 Scores)'!K56&gt;'Analysis Settings'!$F$16,('Raw Data (0-4 Scores)'!K56-'Analysis Settings'!$F$16)/('Analysis Settings'!$G$16-'Analysis Settings'!$F$16),('Raw Data (0-4 Scores)'!K56-'Analysis Settings'!$F$16)/('Analysis Settings'!$F$16-'Analysis Settings'!$E$16)))))</f>
        <v>0.43413511793942577</v>
      </c>
      <c r="E56" s="22">
        <f>IF('Raw Data (0-4 Scores)'!L56='Analysis Settings'!$F$17,'Analysis Settings'!$B$9,1/(1+EXP(-'Analysis Settings'!$B$8*IF('Raw Data (0-4 Scores)'!L56&gt;'Analysis Settings'!$F$17,('Raw Data (0-4 Scores)'!L56-'Analysis Settings'!$F$17)/('Analysis Settings'!$G$17-'Analysis Settings'!$F$17),('Raw Data (0-4 Scores)'!L56-'Analysis Settings'!$F$17)/('Analysis Settings'!$F$17-'Analysis Settings'!$E$17)))))</f>
        <v>0.84268329785062812</v>
      </c>
      <c r="F56" s="22">
        <f>IF('Raw Data (0-4 Scores)'!M56='Analysis Settings'!$F$18,'Analysis Settings'!$B$9,1/(1+EXP(-'Analysis Settings'!$B$8*IF('Raw Data (0-4 Scores)'!M56&gt;'Analysis Settings'!$F$18,('Raw Data (0-4 Scores)'!M56-'Analysis Settings'!$F$18)/('Analysis Settings'!$G$18-'Analysis Settings'!$F$18),('Raw Data (0-4 Scores)'!M56-'Analysis Settings'!$F$18)/('Analysis Settings'!$F$18-'Analysis Settings'!$E$18)))))</f>
        <v>0.89833727306921118</v>
      </c>
      <c r="G56" s="22">
        <f>IF('Raw Data (0-4 Scores)'!N56='Analysis Settings'!$F$19,'Analysis Settings'!$B$9,1/(1+EXP(-'Analysis Settings'!$B$8*IF('Raw Data (0-4 Scores)'!N56&gt;'Analysis Settings'!$F$19,('Raw Data (0-4 Scores)'!N56-'Analysis Settings'!$F$19)/('Analysis Settings'!$G$19-'Analysis Settings'!$F$19),('Raw Data (0-4 Scores)'!N56-'Analysis Settings'!$F$19)/('Analysis Settings'!$F$19-'Analysis Settings'!$E$19)))))</f>
        <v>0.97870526483276787</v>
      </c>
      <c r="H56" s="22">
        <f>IF('Raw Data (0-4 Scores)'!O56='Analysis Settings'!$F$20,'Analysis Settings'!$B$9,1/(1+EXP(-'Analysis Settings'!$B$8*IF('Raw Data (0-4 Scores)'!O56&gt;'Analysis Settings'!$F$20,('Raw Data (0-4 Scores)'!O56-'Analysis Settings'!$F$20)/('Analysis Settings'!$G$20-'Analysis Settings'!$F$20),('Raw Data (0-4 Scores)'!O56-'Analysis Settings'!$F$20)/('Analysis Settings'!$F$20-'Analysis Settings'!$E$20)))))</f>
        <v>0.97079803321377589</v>
      </c>
      <c r="I56" s="22">
        <f>IF('Raw Data (0-4 Scores)'!P56='Analysis Settings'!$F$21,'Analysis Settings'!$B$9,1/(1+EXP(-'Analysis Settings'!$B$8*IF('Raw Data (0-4 Scores)'!P56&gt;'Analysis Settings'!$F$21,('Raw Data (0-4 Scores)'!P56-'Analysis Settings'!$F$21)/('Analysis Settings'!$G$21-'Analysis Settings'!$F$21),('Raw Data (0-4 Scores)'!P56-'Analysis Settings'!$F$21)/('Analysis Settings'!$F$21-'Analysis Settings'!$E$21)))))</f>
        <v>0.78007590432768892</v>
      </c>
      <c r="J56" s="22">
        <f t="shared" si="1"/>
        <v>0.21992409567231108</v>
      </c>
    </row>
    <row r="57" spans="1:10" ht="15" customHeight="1" x14ac:dyDescent="0.3">
      <c r="A57" s="20" t="str">
        <f>'Raw Data (0-4 Scores)'!A57</f>
        <v>Micron Technology</v>
      </c>
      <c r="B57" s="20">
        <f>'Raw Data (0-4 Scores)'!E57</f>
        <v>2024</v>
      </c>
      <c r="C57" s="22">
        <f>IF('Raw Data (0-4 Scores)'!J57='Analysis Settings'!$F$15,'Analysis Settings'!$B$9,1/(1+EXP(-'Analysis Settings'!$B$8*IF('Raw Data (0-4 Scores)'!J57&gt;'Analysis Settings'!$F$15,('Raw Data (0-4 Scores)'!J57-'Analysis Settings'!$F$15)/('Analysis Settings'!$G$15-'Analysis Settings'!$F$15),('Raw Data (0-4 Scores)'!J57-'Analysis Settings'!$F$15)/('Analysis Settings'!$F$15-'Analysis Settings'!$E$15)))))</f>
        <v>0.94858271488606616</v>
      </c>
      <c r="D57" s="22">
        <f>IF('Raw Data (0-4 Scores)'!K57='Analysis Settings'!$F$16,'Analysis Settings'!$B$9,1/(1+EXP(-'Analysis Settings'!$B$8*IF('Raw Data (0-4 Scores)'!K57&gt;'Analysis Settings'!$F$16,('Raw Data (0-4 Scores)'!K57-'Analysis Settings'!$F$16)/('Analysis Settings'!$G$16-'Analysis Settings'!$F$16),('Raw Data (0-4 Scores)'!K57-'Analysis Settings'!$F$16)/('Analysis Settings'!$F$16-'Analysis Settings'!$E$16)))))</f>
        <v>0.6889036017278245</v>
      </c>
      <c r="E57" s="22">
        <f>IF('Raw Data (0-4 Scores)'!L57='Analysis Settings'!$F$17,'Analysis Settings'!$B$9,1/(1+EXP(-'Analysis Settings'!$B$8*IF('Raw Data (0-4 Scores)'!L57&gt;'Analysis Settings'!$F$17,('Raw Data (0-4 Scores)'!L57-'Analysis Settings'!$F$17)/('Analysis Settings'!$G$17-'Analysis Settings'!$F$17),('Raw Data (0-4 Scores)'!L57-'Analysis Settings'!$F$17)/('Analysis Settings'!$F$17-'Analysis Settings'!$E$17)))))</f>
        <v>0.95000000000000007</v>
      </c>
      <c r="F57" s="22">
        <f>IF('Raw Data (0-4 Scores)'!M57='Analysis Settings'!$F$18,'Analysis Settings'!$B$9,1/(1+EXP(-'Analysis Settings'!$B$8*IF('Raw Data (0-4 Scores)'!M57&gt;'Analysis Settings'!$F$18,('Raw Data (0-4 Scores)'!M57-'Analysis Settings'!$F$18)/('Analysis Settings'!$G$18-'Analysis Settings'!$F$18),('Raw Data (0-4 Scores)'!M57-'Analysis Settings'!$F$18)/('Analysis Settings'!$F$18-'Analysis Settings'!$E$18)))))</f>
        <v>0.95272423763309744</v>
      </c>
      <c r="G57" s="22">
        <f>IF('Raw Data (0-4 Scores)'!N57='Analysis Settings'!$F$19,'Analysis Settings'!$B$9,1/(1+EXP(-'Analysis Settings'!$B$8*IF('Raw Data (0-4 Scores)'!N57&gt;'Analysis Settings'!$F$19,('Raw Data (0-4 Scores)'!N57-'Analysis Settings'!$F$19)/('Analysis Settings'!$G$19-'Analysis Settings'!$F$19),('Raw Data (0-4 Scores)'!N57-'Analysis Settings'!$F$19)/('Analysis Settings'!$F$19-'Analysis Settings'!$E$19)))))</f>
        <v>0.92835307627002983</v>
      </c>
      <c r="H57" s="22">
        <f>IF('Raw Data (0-4 Scores)'!O57='Analysis Settings'!$F$20,'Analysis Settings'!$B$9,1/(1+EXP(-'Analysis Settings'!$B$8*IF('Raw Data (0-4 Scores)'!O57&gt;'Analysis Settings'!$F$20,('Raw Data (0-4 Scores)'!O57-'Analysis Settings'!$F$20)/('Analysis Settings'!$G$20-'Analysis Settings'!$F$20),('Raw Data (0-4 Scores)'!O57-'Analysis Settings'!$F$20)/('Analysis Settings'!$F$20-'Analysis Settings'!$E$20)))))</f>
        <v>0.96332612167467657</v>
      </c>
      <c r="I57" s="22">
        <f>IF('Raw Data (0-4 Scores)'!P57='Analysis Settings'!$F$21,'Analysis Settings'!$B$9,1/(1+EXP(-'Analysis Settings'!$B$8*IF('Raw Data (0-4 Scores)'!P57&gt;'Analysis Settings'!$F$21,('Raw Data (0-4 Scores)'!P57-'Analysis Settings'!$F$21)/('Analysis Settings'!$G$21-'Analysis Settings'!$F$21),('Raw Data (0-4 Scores)'!P57-'Analysis Settings'!$F$21)/('Analysis Settings'!$F$21-'Analysis Settings'!$E$21)))))</f>
        <v>0.96227157328992696</v>
      </c>
      <c r="J57" s="22">
        <f t="shared" si="1"/>
        <v>3.7728426710073037E-2</v>
      </c>
    </row>
    <row r="58" spans="1:10" ht="15" customHeight="1" x14ac:dyDescent="0.3">
      <c r="A58" s="20" t="str">
        <f>'Raw Data (0-4 Scores)'!A58</f>
        <v>Micron Technology</v>
      </c>
      <c r="B58" s="20">
        <f>'Raw Data (0-4 Scores)'!E58</f>
        <v>2025</v>
      </c>
      <c r="C58" s="22">
        <f>IF('Raw Data (0-4 Scores)'!J58='Analysis Settings'!$F$15,'Analysis Settings'!$B$9,1/(1+EXP(-'Analysis Settings'!$B$8*IF('Raw Data (0-4 Scores)'!J58&gt;'Analysis Settings'!$F$15,('Raw Data (0-4 Scores)'!J58-'Analysis Settings'!$F$15)/('Analysis Settings'!$G$15-'Analysis Settings'!$F$15),('Raw Data (0-4 Scores)'!J58-'Analysis Settings'!$F$15)/('Analysis Settings'!$F$15-'Analysis Settings'!$E$15)))))</f>
        <v>0.97744272118270281</v>
      </c>
      <c r="D58" s="22">
        <f>IF('Raw Data (0-4 Scores)'!K58='Analysis Settings'!$F$16,'Analysis Settings'!$B$9,1/(1+EXP(-'Analysis Settings'!$B$8*IF('Raw Data (0-4 Scores)'!K58&gt;'Analysis Settings'!$F$16,('Raw Data (0-4 Scores)'!K58-'Analysis Settings'!$F$16)/('Analysis Settings'!$G$16-'Analysis Settings'!$F$16),('Raw Data (0-4 Scores)'!K58-'Analysis Settings'!$F$16)/('Analysis Settings'!$F$16-'Analysis Settings'!$E$16)))))</f>
        <v>0.83471808295201222</v>
      </c>
      <c r="E58" s="22">
        <f>IF('Raw Data (0-4 Scores)'!L58='Analysis Settings'!$F$17,'Analysis Settings'!$B$9,1/(1+EXP(-'Analysis Settings'!$B$8*IF('Raw Data (0-4 Scores)'!L58&gt;'Analysis Settings'!$F$17,('Raw Data (0-4 Scores)'!L58-'Analysis Settings'!$F$17)/('Analysis Settings'!$G$17-'Analysis Settings'!$F$17),('Raw Data (0-4 Scores)'!L58-'Analysis Settings'!$F$17)/('Analysis Settings'!$F$17-'Analysis Settings'!$E$17)))))</f>
        <v>0.9243359983415621</v>
      </c>
      <c r="F58" s="22">
        <f>IF('Raw Data (0-4 Scores)'!M58='Analysis Settings'!$F$18,'Analysis Settings'!$B$9,1/(1+EXP(-'Analysis Settings'!$B$8*IF('Raw Data (0-4 Scores)'!M58&gt;'Analysis Settings'!$F$18,('Raw Data (0-4 Scores)'!M58-'Analysis Settings'!$F$18)/('Analysis Settings'!$G$18-'Analysis Settings'!$F$18),('Raw Data (0-4 Scores)'!M58-'Analysis Settings'!$F$18)/('Analysis Settings'!$F$18-'Analysis Settings'!$E$18)))))</f>
        <v>0.98735502395561348</v>
      </c>
      <c r="G58" s="22">
        <f>IF('Raw Data (0-4 Scores)'!N58='Analysis Settings'!$F$19,'Analysis Settings'!$B$9,1/(1+EXP(-'Analysis Settings'!$B$8*IF('Raw Data (0-4 Scores)'!N58&gt;'Analysis Settings'!$F$19,('Raw Data (0-4 Scores)'!N58-'Analysis Settings'!$F$19)/('Analysis Settings'!$G$19-'Analysis Settings'!$F$19),('Raw Data (0-4 Scores)'!N58-'Analysis Settings'!$F$19)/('Analysis Settings'!$F$19-'Analysis Settings'!$E$19)))))</f>
        <v>0.98404994806780588</v>
      </c>
      <c r="H58" s="22">
        <f>IF('Raw Data (0-4 Scores)'!O58='Analysis Settings'!$F$20,'Analysis Settings'!$B$9,1/(1+EXP(-'Analysis Settings'!$B$8*IF('Raw Data (0-4 Scores)'!O58&gt;'Analysis Settings'!$F$20,('Raw Data (0-4 Scores)'!O58-'Analysis Settings'!$F$20)/('Analysis Settings'!$G$20-'Analysis Settings'!$F$20),('Raw Data (0-4 Scores)'!O58-'Analysis Settings'!$F$20)/('Analysis Settings'!$F$20-'Analysis Settings'!$E$20)))))</f>
        <v>0.97162128674511761</v>
      </c>
      <c r="I58" s="22">
        <f>IF('Raw Data (0-4 Scores)'!P58='Analysis Settings'!$F$21,'Analysis Settings'!$B$9,1/(1+EXP(-'Analysis Settings'!$B$8*IF('Raw Data (0-4 Scores)'!P58&gt;'Analysis Settings'!$F$21,('Raw Data (0-4 Scores)'!P58-'Analysis Settings'!$F$21)/('Analysis Settings'!$G$21-'Analysis Settings'!$F$21),('Raw Data (0-4 Scores)'!P58-'Analysis Settings'!$F$21)/('Analysis Settings'!$F$21-'Analysis Settings'!$E$21)))))</f>
        <v>0.95530702874889584</v>
      </c>
      <c r="J58" s="22">
        <f t="shared" si="1"/>
        <v>4.4692971251104163E-2</v>
      </c>
    </row>
    <row r="59" spans="1:10" ht="15" customHeight="1" x14ac:dyDescent="0.3">
      <c r="A59" s="20" t="str">
        <f>'Raw Data (0-4 Scores)'!A59</f>
        <v>NVIDIA Corporation</v>
      </c>
      <c r="B59" s="20">
        <f>'Raw Data (0-4 Scores)'!E59</f>
        <v>2023</v>
      </c>
      <c r="C59" s="22">
        <f>IF('Raw Data (0-4 Scores)'!J59='Analysis Settings'!$F$15,'Analysis Settings'!$B$9,1/(1+EXP(-'Analysis Settings'!$B$8*IF('Raw Data (0-4 Scores)'!J59&gt;'Analysis Settings'!$F$15,('Raw Data (0-4 Scores)'!J59-'Analysis Settings'!$F$15)/('Analysis Settings'!$G$15-'Analysis Settings'!$F$15),('Raw Data (0-4 Scores)'!J59-'Analysis Settings'!$F$15)/('Analysis Settings'!$F$15-'Analysis Settings'!$E$15)))))</f>
        <v>0.99390322217650018</v>
      </c>
      <c r="D59" s="22">
        <f>IF('Raw Data (0-4 Scores)'!K59='Analysis Settings'!$F$16,'Analysis Settings'!$B$9,1/(1+EXP(-'Analysis Settings'!$B$8*IF('Raw Data (0-4 Scores)'!K59&gt;'Analysis Settings'!$F$16,('Raw Data (0-4 Scores)'!K59-'Analysis Settings'!$F$16)/('Analysis Settings'!$G$16-'Analysis Settings'!$F$16),('Raw Data (0-4 Scores)'!K59-'Analysis Settings'!$F$16)/('Analysis Settings'!$F$16-'Analysis Settings'!$E$16)))))</f>
        <v>0.87145501630212008</v>
      </c>
      <c r="E59" s="22">
        <f>IF('Raw Data (0-4 Scores)'!L59='Analysis Settings'!$F$17,'Analysis Settings'!$B$9,1/(1+EXP(-'Analysis Settings'!$B$8*IF('Raw Data (0-4 Scores)'!L59&gt;'Analysis Settings'!$F$17,('Raw Data (0-4 Scores)'!L59-'Analysis Settings'!$F$17)/('Analysis Settings'!$G$17-'Analysis Settings'!$F$17),('Raw Data (0-4 Scores)'!L59-'Analysis Settings'!$F$17)/('Analysis Settings'!$F$17-'Analysis Settings'!$E$17)))))</f>
        <v>0.89561647791956267</v>
      </c>
      <c r="F59" s="22">
        <f>IF('Raw Data (0-4 Scores)'!M59='Analysis Settings'!$F$18,'Analysis Settings'!$B$9,1/(1+EXP(-'Analysis Settings'!$B$8*IF('Raw Data (0-4 Scores)'!M59&gt;'Analysis Settings'!$F$18,('Raw Data (0-4 Scores)'!M59-'Analysis Settings'!$F$18)/('Analysis Settings'!$G$18-'Analysis Settings'!$F$18),('Raw Data (0-4 Scores)'!M59-'Analysis Settings'!$F$18)/('Analysis Settings'!$F$18-'Analysis Settings'!$E$18)))))</f>
        <v>0.8306156878453651</v>
      </c>
      <c r="G59" s="22">
        <f>IF('Raw Data (0-4 Scores)'!N59='Analysis Settings'!$F$19,'Analysis Settings'!$B$9,1/(1+EXP(-'Analysis Settings'!$B$8*IF('Raw Data (0-4 Scores)'!N59&gt;'Analysis Settings'!$F$19,('Raw Data (0-4 Scores)'!N59-'Analysis Settings'!$F$19)/('Analysis Settings'!$G$19-'Analysis Settings'!$F$19),('Raw Data (0-4 Scores)'!N59-'Analysis Settings'!$F$19)/('Analysis Settings'!$F$19-'Analysis Settings'!$E$19)))))</f>
        <v>0.92636975107831832</v>
      </c>
      <c r="H59" s="22">
        <f>IF('Raw Data (0-4 Scores)'!O59='Analysis Settings'!$F$20,'Analysis Settings'!$B$9,1/(1+EXP(-'Analysis Settings'!$B$8*IF('Raw Data (0-4 Scores)'!O59&gt;'Analysis Settings'!$F$20,('Raw Data (0-4 Scores)'!O59-'Analysis Settings'!$F$20)/('Analysis Settings'!$G$20-'Analysis Settings'!$F$20),('Raw Data (0-4 Scores)'!O59-'Analysis Settings'!$F$20)/('Analysis Settings'!$F$20-'Analysis Settings'!$E$20)))))</f>
        <v>0.94858271488606616</v>
      </c>
      <c r="I59" s="22">
        <f>IF('Raw Data (0-4 Scores)'!P59='Analysis Settings'!$F$21,'Analysis Settings'!$B$9,1/(1+EXP(-'Analysis Settings'!$B$8*IF('Raw Data (0-4 Scores)'!P59&gt;'Analysis Settings'!$F$21,('Raw Data (0-4 Scores)'!P59-'Analysis Settings'!$F$21)/('Analysis Settings'!$G$21-'Analysis Settings'!$F$21),('Raw Data (0-4 Scores)'!P59-'Analysis Settings'!$F$21)/('Analysis Settings'!$F$21-'Analysis Settings'!$E$21)))))</f>
        <v>0.8306156878453651</v>
      </c>
      <c r="J59" s="22">
        <f t="shared" si="1"/>
        <v>0.1693843121546349</v>
      </c>
    </row>
    <row r="60" spans="1:10" ht="15" customHeight="1" x14ac:dyDescent="0.3">
      <c r="A60" s="20" t="str">
        <f>'Raw Data (0-4 Scores)'!A60</f>
        <v>NVIDIA Corporation</v>
      </c>
      <c r="B60" s="20">
        <f>'Raw Data (0-4 Scores)'!E60</f>
        <v>2024</v>
      </c>
      <c r="C60" s="22">
        <f>IF('Raw Data (0-4 Scores)'!J60='Analysis Settings'!$F$15,'Analysis Settings'!$B$9,1/(1+EXP(-'Analysis Settings'!$B$8*IF('Raw Data (0-4 Scores)'!J60&gt;'Analysis Settings'!$F$15,('Raw Data (0-4 Scores)'!J60-'Analysis Settings'!$F$15)/('Analysis Settings'!$G$15-'Analysis Settings'!$F$15),('Raw Data (0-4 Scores)'!J60-'Analysis Settings'!$F$15)/('Analysis Settings'!$F$15-'Analysis Settings'!$E$15)))))</f>
        <v>0.99640237926135722</v>
      </c>
      <c r="D60" s="22">
        <f>IF('Raw Data (0-4 Scores)'!K60='Analysis Settings'!$F$16,'Analysis Settings'!$B$9,1/(1+EXP(-'Analysis Settings'!$B$8*IF('Raw Data (0-4 Scores)'!K60&gt;'Analysis Settings'!$F$16,('Raw Data (0-4 Scores)'!K60-'Analysis Settings'!$F$16)/('Analysis Settings'!$G$16-'Analysis Settings'!$F$16),('Raw Data (0-4 Scores)'!K60-'Analysis Settings'!$F$16)/('Analysis Settings'!$F$16-'Analysis Settings'!$E$16)))))</f>
        <v>0.94563344303041863</v>
      </c>
      <c r="E60" s="22">
        <f>IF('Raw Data (0-4 Scores)'!L60='Analysis Settings'!$F$17,'Analysis Settings'!$B$9,1/(1+EXP(-'Analysis Settings'!$B$8*IF('Raw Data (0-4 Scores)'!L60&gt;'Analysis Settings'!$F$17,('Raw Data (0-4 Scores)'!L60-'Analysis Settings'!$F$17)/('Analysis Settings'!$G$17-'Analysis Settings'!$F$17),('Raw Data (0-4 Scores)'!L60-'Analysis Settings'!$F$17)/('Analysis Settings'!$F$17-'Analysis Settings'!$E$17)))))</f>
        <v>0.94252525225983574</v>
      </c>
      <c r="F60" s="22">
        <f>IF('Raw Data (0-4 Scores)'!M60='Analysis Settings'!$F$18,'Analysis Settings'!$B$9,1/(1+EXP(-'Analysis Settings'!$B$8*IF('Raw Data (0-4 Scores)'!M60&gt;'Analysis Settings'!$F$18,('Raw Data (0-4 Scores)'!M60-'Analysis Settings'!$F$18)/('Analysis Settings'!$G$18-'Analysis Settings'!$F$18),('Raw Data (0-4 Scores)'!M60-'Analysis Settings'!$F$18)/('Analysis Settings'!$F$18-'Analysis Settings'!$E$18)))))</f>
        <v>0.97162128674511761</v>
      </c>
      <c r="G60" s="22">
        <f>IF('Raw Data (0-4 Scores)'!N60='Analysis Settings'!$F$19,'Analysis Settings'!$B$9,1/(1+EXP(-'Analysis Settings'!$B$8*IF('Raw Data (0-4 Scores)'!N60&gt;'Analysis Settings'!$F$19,('Raw Data (0-4 Scores)'!N60-'Analysis Settings'!$F$19)/('Analysis Settings'!$G$19-'Analysis Settings'!$F$19),('Raw Data (0-4 Scores)'!N60-'Analysis Settings'!$F$19)/('Analysis Settings'!$F$19-'Analysis Settings'!$E$19)))))</f>
        <v>0.96118792333927039</v>
      </c>
      <c r="H60" s="22">
        <f>IF('Raw Data (0-4 Scores)'!O60='Analysis Settings'!$F$20,'Analysis Settings'!$B$9,1/(1+EXP(-'Analysis Settings'!$B$8*IF('Raw Data (0-4 Scores)'!O60&gt;'Analysis Settings'!$F$20,('Raw Data (0-4 Scores)'!O60-'Analysis Settings'!$F$20)/('Analysis Settings'!$G$20-'Analysis Settings'!$F$20),('Raw Data (0-4 Scores)'!O60-'Analysis Settings'!$F$20)/('Analysis Settings'!$F$20-'Analysis Settings'!$E$20)))))</f>
        <v>0.91337445491190772</v>
      </c>
      <c r="I60" s="22">
        <f>IF('Raw Data (0-4 Scores)'!P60='Analysis Settings'!$F$21,'Analysis Settings'!$B$9,1/(1+EXP(-'Analysis Settings'!$B$8*IF('Raw Data (0-4 Scores)'!P60&gt;'Analysis Settings'!$F$21,('Raw Data (0-4 Scores)'!P60-'Analysis Settings'!$F$21)/('Analysis Settings'!$G$21-'Analysis Settings'!$F$21),('Raw Data (0-4 Scores)'!P60-'Analysis Settings'!$F$21)/('Analysis Settings'!$F$21-'Analysis Settings'!$E$21)))))</f>
        <v>0.9681869684806228</v>
      </c>
      <c r="J60" s="22">
        <f t="shared" si="1"/>
        <v>3.18130315193772E-2</v>
      </c>
    </row>
    <row r="61" spans="1:10" ht="15" customHeight="1" x14ac:dyDescent="0.3">
      <c r="A61" s="20" t="str">
        <f>'Raw Data (0-4 Scores)'!A61</f>
        <v>NVIDIA Corporation</v>
      </c>
      <c r="B61" s="20">
        <f>'Raw Data (0-4 Scores)'!E61</f>
        <v>2025</v>
      </c>
      <c r="C61" s="22">
        <f>IF('Raw Data (0-4 Scores)'!J61='Analysis Settings'!$F$15,'Analysis Settings'!$B$9,1/(1+EXP(-'Analysis Settings'!$B$8*IF('Raw Data (0-4 Scores)'!J61&gt;'Analysis Settings'!$F$15,('Raw Data (0-4 Scores)'!J61-'Analysis Settings'!$F$15)/('Analysis Settings'!$G$15-'Analysis Settings'!$F$15),('Raw Data (0-4 Scores)'!J61-'Analysis Settings'!$F$15)/('Analysis Settings'!$F$15-'Analysis Settings'!$E$15)))))</f>
        <v>0.99723756906077354</v>
      </c>
      <c r="D61" s="22">
        <f>IF('Raw Data (0-4 Scores)'!K61='Analysis Settings'!$F$16,'Analysis Settings'!$B$9,1/(1+EXP(-'Analysis Settings'!$B$8*IF('Raw Data (0-4 Scores)'!K61&gt;'Analysis Settings'!$F$16,('Raw Data (0-4 Scores)'!K61-'Analysis Settings'!$F$16)/('Analysis Settings'!$G$16-'Analysis Settings'!$F$16),('Raw Data (0-4 Scores)'!K61-'Analysis Settings'!$F$16)/('Analysis Settings'!$F$16-'Analysis Settings'!$E$16)))))</f>
        <v>0.9681869684806228</v>
      </c>
      <c r="E61" s="22">
        <f>IF('Raw Data (0-4 Scores)'!L61='Analysis Settings'!$F$17,'Analysis Settings'!$B$9,1/(1+EXP(-'Analysis Settings'!$B$8*IF('Raw Data (0-4 Scores)'!L61&gt;'Analysis Settings'!$F$17,('Raw Data (0-4 Scores)'!L61-'Analysis Settings'!$F$17)/('Analysis Settings'!$G$17-'Analysis Settings'!$F$17),('Raw Data (0-4 Scores)'!L61-'Analysis Settings'!$F$17)/('Analysis Settings'!$F$17-'Analysis Settings'!$E$17)))))</f>
        <v>0.93028699837745943</v>
      </c>
      <c r="F61" s="22">
        <f>IF('Raw Data (0-4 Scores)'!M61='Analysis Settings'!$F$18,'Analysis Settings'!$B$9,1/(1+EXP(-'Analysis Settings'!$B$8*IF('Raw Data (0-4 Scores)'!M61&gt;'Analysis Settings'!$F$18,('Raw Data (0-4 Scores)'!M61-'Analysis Settings'!$F$18)/('Analysis Settings'!$G$18-'Analysis Settings'!$F$18),('Raw Data (0-4 Scores)'!M61-'Analysis Settings'!$F$18)/('Analysis Settings'!$F$18-'Analysis Settings'!$E$18)))))</f>
        <v>0.96726744327006176</v>
      </c>
      <c r="G61" s="22">
        <f>IF('Raw Data (0-4 Scores)'!N61='Analysis Settings'!$F$19,'Analysis Settings'!$B$9,1/(1+EXP(-'Analysis Settings'!$B$8*IF('Raw Data (0-4 Scores)'!N61&gt;'Analysis Settings'!$F$19,('Raw Data (0-4 Scores)'!N61-'Analysis Settings'!$F$19)/('Analysis Settings'!$G$19-'Analysis Settings'!$F$19),('Raw Data (0-4 Scores)'!N61-'Analysis Settings'!$F$19)/('Analysis Settings'!$F$19-'Analysis Settings'!$E$19)))))</f>
        <v>0.96535077073938858</v>
      </c>
      <c r="H61" s="22">
        <f>IF('Raw Data (0-4 Scores)'!O61='Analysis Settings'!$F$20,'Analysis Settings'!$B$9,1/(1+EXP(-'Analysis Settings'!$B$8*IF('Raw Data (0-4 Scores)'!O61&gt;'Analysis Settings'!$F$20,('Raw Data (0-4 Scores)'!O61-'Analysis Settings'!$F$20)/('Analysis Settings'!$G$20-'Analysis Settings'!$F$20),('Raw Data (0-4 Scores)'!O61-'Analysis Settings'!$F$20)/('Analysis Settings'!$F$20-'Analysis Settings'!$E$20)))))</f>
        <v>0.97541073597338135</v>
      </c>
      <c r="I61" s="22">
        <f>IF('Raw Data (0-4 Scores)'!P61='Analysis Settings'!$F$21,'Analysis Settings'!$B$9,1/(1+EXP(-'Analysis Settings'!$B$8*IF('Raw Data (0-4 Scores)'!P61&gt;'Analysis Settings'!$F$21,('Raw Data (0-4 Scores)'!P61-'Analysis Settings'!$F$21)/('Analysis Settings'!$G$21-'Analysis Settings'!$F$21),('Raw Data (0-4 Scores)'!P61-'Analysis Settings'!$F$21)/('Analysis Settings'!$F$21-'Analysis Settings'!$E$21)))))</f>
        <v>0.95775497238114526</v>
      </c>
      <c r="J61" s="22">
        <f t="shared" si="1"/>
        <v>4.2245027618854736E-2</v>
      </c>
    </row>
    <row r="62" spans="1:10" ht="15" customHeight="1" x14ac:dyDescent="0.3">
      <c r="A62" s="20" t="str">
        <f>'Raw Data (0-4 Scores)'!A62</f>
        <v>Nanya Technology</v>
      </c>
      <c r="B62" s="20">
        <f>'Raw Data (0-4 Scores)'!E62</f>
        <v>2023</v>
      </c>
      <c r="C62" s="22">
        <f>IF('Raw Data (0-4 Scores)'!J62='Analysis Settings'!$F$15,'Analysis Settings'!$B$9,1/(1+EXP(-'Analysis Settings'!$B$8*IF('Raw Data (0-4 Scores)'!J62&gt;'Analysis Settings'!$F$15,('Raw Data (0-4 Scores)'!J62-'Analysis Settings'!$F$15)/('Analysis Settings'!$G$15-'Analysis Settings'!$F$15),('Raw Data (0-4 Scores)'!J62-'Analysis Settings'!$F$15)/('Analysis Settings'!$F$15-'Analysis Settings'!$E$15)))))</f>
        <v>7.7036748015770927E-3</v>
      </c>
      <c r="D62" s="22">
        <f>IF('Raw Data (0-4 Scores)'!K62='Analysis Settings'!$F$16,'Analysis Settings'!$B$9,1/(1+EXP(-'Analysis Settings'!$B$8*IF('Raw Data (0-4 Scores)'!K62&gt;'Analysis Settings'!$F$16,('Raw Data (0-4 Scores)'!K62-'Analysis Settings'!$F$16)/('Analysis Settings'!$G$16-'Analysis Settings'!$F$16),('Raw Data (0-4 Scores)'!K62-'Analysis Settings'!$F$16)/('Analysis Settings'!$F$16-'Analysis Settings'!$E$16)))))</f>
        <v>1.739744435312152E-2</v>
      </c>
      <c r="E62" s="22">
        <f>IF('Raw Data (0-4 Scores)'!L62='Analysis Settings'!$F$17,'Analysis Settings'!$B$9,1/(1+EXP(-'Analysis Settings'!$B$8*IF('Raw Data (0-4 Scores)'!L62&gt;'Analysis Settings'!$F$17,('Raw Data (0-4 Scores)'!L62-'Analysis Settings'!$F$17)/('Analysis Settings'!$G$17-'Analysis Settings'!$F$17),('Raw Data (0-4 Scores)'!L62-'Analysis Settings'!$F$17)/('Analysis Settings'!$F$17-'Analysis Settings'!$E$17)))))</f>
        <v>1.3401706499242933E-2</v>
      </c>
      <c r="F62" s="22">
        <f>IF('Raw Data (0-4 Scores)'!M62='Analysis Settings'!$F$18,'Analysis Settings'!$B$9,1/(1+EXP(-'Analysis Settings'!$B$8*IF('Raw Data (0-4 Scores)'!M62&gt;'Analysis Settings'!$F$18,('Raw Data (0-4 Scores)'!M62-'Analysis Settings'!$F$18)/('Analysis Settings'!$G$18-'Analysis Settings'!$F$18),('Raw Data (0-4 Scores)'!M62-'Analysis Settings'!$F$18)/('Analysis Settings'!$F$18-'Analysis Settings'!$E$18)))))</f>
        <v>2.0689649220067358E-2</v>
      </c>
      <c r="G62" s="22">
        <f>IF('Raw Data (0-4 Scores)'!N62='Analysis Settings'!$F$19,'Analysis Settings'!$B$9,1/(1+EXP(-'Analysis Settings'!$B$8*IF('Raw Data (0-4 Scores)'!N62&gt;'Analysis Settings'!$F$19,('Raw Data (0-4 Scores)'!N62-'Analysis Settings'!$F$19)/('Analysis Settings'!$G$19-'Analysis Settings'!$F$19),('Raw Data (0-4 Scores)'!N62-'Analysis Settings'!$F$19)/('Analysis Settings'!$F$19-'Analysis Settings'!$E$19)))))</f>
        <v>5.590033209290831E-2</v>
      </c>
      <c r="H62" s="22">
        <f>IF('Raw Data (0-4 Scores)'!O62='Analysis Settings'!$F$20,'Analysis Settings'!$B$9,1/(1+EXP(-'Analysis Settings'!$B$8*IF('Raw Data (0-4 Scores)'!O62&gt;'Analysis Settings'!$F$20,('Raw Data (0-4 Scores)'!O62-'Analysis Settings'!$F$20)/('Analysis Settings'!$G$20-'Analysis Settings'!$F$20),('Raw Data (0-4 Scores)'!O62-'Analysis Settings'!$F$20)/('Analysis Settings'!$F$20-'Analysis Settings'!$E$20)))))</f>
        <v>1.1588305548248447E-2</v>
      </c>
      <c r="I62" s="22">
        <f>IF('Raw Data (0-4 Scores)'!P62='Analysis Settings'!$F$21,'Analysis Settings'!$B$9,1/(1+EXP(-'Analysis Settings'!$B$8*IF('Raw Data (0-4 Scores)'!P62&gt;'Analysis Settings'!$F$21,('Raw Data (0-4 Scores)'!P62-'Analysis Settings'!$F$21)/('Analysis Settings'!$G$21-'Analysis Settings'!$F$21),('Raw Data (0-4 Scores)'!P62-'Analysis Settings'!$F$21)/('Analysis Settings'!$F$21-'Analysis Settings'!$E$21)))))</f>
        <v>2.6041939580460551E-2</v>
      </c>
      <c r="J62" s="22">
        <f t="shared" si="1"/>
        <v>2.6041939580460551E-2</v>
      </c>
    </row>
    <row r="63" spans="1:10" ht="15" customHeight="1" x14ac:dyDescent="0.3">
      <c r="A63" s="20" t="str">
        <f>'Raw Data (0-4 Scores)'!A63</f>
        <v>Nanya Technology</v>
      </c>
      <c r="B63" s="20">
        <f>'Raw Data (0-4 Scores)'!E63</f>
        <v>2024</v>
      </c>
      <c r="C63" s="22">
        <f>IF('Raw Data (0-4 Scores)'!J63='Analysis Settings'!$F$15,'Analysis Settings'!$B$9,1/(1+EXP(-'Analysis Settings'!$B$8*IF('Raw Data (0-4 Scores)'!J63&gt;'Analysis Settings'!$F$15,('Raw Data (0-4 Scores)'!J63-'Analysis Settings'!$F$15)/('Analysis Settings'!$G$15-'Analysis Settings'!$F$15),('Raw Data (0-4 Scores)'!J63-'Analysis Settings'!$F$15)/('Analysis Settings'!$F$15-'Analysis Settings'!$E$15)))))</f>
        <v>6.2451170562341639E-2</v>
      </c>
      <c r="D63" s="22">
        <f>IF('Raw Data (0-4 Scores)'!K63='Analysis Settings'!$F$16,'Analysis Settings'!$B$9,1/(1+EXP(-'Analysis Settings'!$B$8*IF('Raw Data (0-4 Scores)'!K63&gt;'Analysis Settings'!$F$16,('Raw Data (0-4 Scores)'!K63-'Analysis Settings'!$F$16)/('Analysis Settings'!$G$16-'Analysis Settings'!$F$16),('Raw Data (0-4 Scores)'!K63-'Analysis Settings'!$F$16)/('Analysis Settings'!$F$16-'Analysis Settings'!$E$16)))))</f>
        <v>6.7827466774720027E-2</v>
      </c>
      <c r="E63" s="22">
        <f>IF('Raw Data (0-4 Scores)'!L63='Analysis Settings'!$F$17,'Analysis Settings'!$B$9,1/(1+EXP(-'Analysis Settings'!$B$8*IF('Raw Data (0-4 Scores)'!L63&gt;'Analysis Settings'!$F$17,('Raw Data (0-4 Scores)'!L63-'Analysis Settings'!$F$17)/('Analysis Settings'!$G$17-'Analysis Settings'!$F$17),('Raw Data (0-4 Scores)'!L63-'Analysis Settings'!$F$17)/('Analysis Settings'!$F$17-'Analysis Settings'!$E$17)))))</f>
        <v>4.8619779094261621E-2</v>
      </c>
      <c r="F63" s="22">
        <f>IF('Raw Data (0-4 Scores)'!M63='Analysis Settings'!$F$18,'Analysis Settings'!$B$9,1/(1+EXP(-'Analysis Settings'!$B$8*IF('Raw Data (0-4 Scores)'!M63&gt;'Analysis Settings'!$F$18,('Raw Data (0-4 Scores)'!M63-'Analysis Settings'!$F$18)/('Analysis Settings'!$G$18-'Analysis Settings'!$F$18),('Raw Data (0-4 Scores)'!M63-'Analysis Settings'!$F$18)/('Analysis Settings'!$F$18-'Analysis Settings'!$E$18)))))</f>
        <v>5.590033209290831E-2</v>
      </c>
      <c r="G63" s="22">
        <f>IF('Raw Data (0-4 Scores)'!N63='Analysis Settings'!$F$19,'Analysis Settings'!$B$9,1/(1+EXP(-'Analysis Settings'!$B$8*IF('Raw Data (0-4 Scores)'!N63&gt;'Analysis Settings'!$F$19,('Raw Data (0-4 Scores)'!N63-'Analysis Settings'!$F$19)/('Analysis Settings'!$G$19-'Analysis Settings'!$F$19),('Raw Data (0-4 Scores)'!N63-'Analysis Settings'!$F$19)/('Analysis Settings'!$F$19-'Analysis Settings'!$E$19)))))</f>
        <v>6.7827466774720027E-2</v>
      </c>
      <c r="H63" s="22">
        <f>IF('Raw Data (0-4 Scores)'!O63='Analysis Settings'!$F$20,'Analysis Settings'!$B$9,1/(1+EXP(-'Analysis Settings'!$B$8*IF('Raw Data (0-4 Scores)'!O63&gt;'Analysis Settings'!$F$20,('Raw Data (0-4 Scores)'!O63-'Analysis Settings'!$F$20)/('Analysis Settings'!$G$20-'Analysis Settings'!$F$20),('Raw Data (0-4 Scores)'!O63-'Analysis Settings'!$F$20)/('Analysis Settings'!$F$20-'Analysis Settings'!$E$20)))))</f>
        <v>3.9925560203945623E-2</v>
      </c>
      <c r="I63" s="22">
        <f>IF('Raw Data (0-4 Scores)'!P63='Analysis Settings'!$F$21,'Analysis Settings'!$B$9,1/(1+EXP(-'Analysis Settings'!$B$8*IF('Raw Data (0-4 Scores)'!P63&gt;'Analysis Settings'!$F$21,('Raw Data (0-4 Scores)'!P63-'Analysis Settings'!$F$21)/('Analysis Settings'!$G$21-'Analysis Settings'!$F$21),('Raw Data (0-4 Scores)'!P63-'Analysis Settings'!$F$21)/('Analysis Settings'!$F$21-'Analysis Settings'!$E$21)))))</f>
        <v>4.4692971251104087E-2</v>
      </c>
      <c r="J63" s="22">
        <f t="shared" si="1"/>
        <v>4.4692971251104087E-2</v>
      </c>
    </row>
    <row r="64" spans="1:10" ht="15" customHeight="1" x14ac:dyDescent="0.3">
      <c r="A64" s="20" t="str">
        <f>'Raw Data (0-4 Scores)'!A64</f>
        <v>Nanya Technology</v>
      </c>
      <c r="B64" s="20">
        <f>'Raw Data (0-4 Scores)'!E64</f>
        <v>2025</v>
      </c>
      <c r="C64" s="22">
        <f>IF('Raw Data (0-4 Scores)'!J64='Analysis Settings'!$F$15,'Analysis Settings'!$B$9,1/(1+EXP(-'Analysis Settings'!$B$8*IF('Raw Data (0-4 Scores)'!J64&gt;'Analysis Settings'!$F$15,('Raw Data (0-4 Scores)'!J64-'Analysis Settings'!$F$15)/('Analysis Settings'!$G$15-'Analysis Settings'!$F$15),('Raw Data (0-4 Scores)'!J64-'Analysis Settings'!$F$15)/('Analysis Settings'!$F$15-'Analysis Settings'!$E$15)))))</f>
        <v>7.3630248921681504E-2</v>
      </c>
      <c r="D64" s="22">
        <f>IF('Raw Data (0-4 Scores)'!K64='Analysis Settings'!$F$16,'Analysis Settings'!$B$9,1/(1+EXP(-'Analysis Settings'!$B$8*IF('Raw Data (0-4 Scores)'!K64&gt;'Analysis Settings'!$F$16,('Raw Data (0-4 Scores)'!K64-'Analysis Settings'!$F$16)/('Analysis Settings'!$G$16-'Analysis Settings'!$F$16),('Raw Data (0-4 Scores)'!K64-'Analysis Settings'!$F$16)/('Analysis Settings'!$F$16-'Analysis Settings'!$E$16)))))</f>
        <v>0.10716844700002652</v>
      </c>
      <c r="E64" s="22">
        <f>IF('Raw Data (0-4 Scores)'!L64='Analysis Settings'!$F$17,'Analysis Settings'!$B$9,1/(1+EXP(-'Analysis Settings'!$B$8*IF('Raw Data (0-4 Scores)'!L64&gt;'Analysis Settings'!$F$17,('Raw Data (0-4 Scores)'!L64-'Analysis Settings'!$F$17)/('Analysis Settings'!$G$17-'Analysis Settings'!$F$17),('Raw Data (0-4 Scores)'!L64-'Analysis Settings'!$F$17)/('Analysis Settings'!$F$17-'Analysis Settings'!$E$17)))))</f>
        <v>4.4692971251104087E-2</v>
      </c>
      <c r="F64" s="22">
        <f>IF('Raw Data (0-4 Scores)'!M64='Analysis Settings'!$F$18,'Analysis Settings'!$B$9,1/(1+EXP(-'Analysis Settings'!$B$8*IF('Raw Data (0-4 Scores)'!M64&gt;'Analysis Settings'!$F$18,('Raw Data (0-4 Scores)'!M64-'Analysis Settings'!$F$18)/('Analysis Settings'!$G$18-'Analysis Settings'!$F$18),('Raw Data (0-4 Scores)'!M64-'Analysis Settings'!$F$18)/('Analysis Settings'!$F$18-'Analysis Settings'!$E$18)))))</f>
        <v>0.20514511927633125</v>
      </c>
      <c r="G64" s="22">
        <f>IF('Raw Data (0-4 Scores)'!N64='Analysis Settings'!$F$19,'Analysis Settings'!$B$9,1/(1+EXP(-'Analysis Settings'!$B$8*IF('Raw Data (0-4 Scores)'!N64&gt;'Analysis Settings'!$F$19,('Raw Data (0-4 Scores)'!N64-'Analysis Settings'!$F$19)/('Analysis Settings'!$G$19-'Analysis Settings'!$F$19),('Raw Data (0-4 Scores)'!N64-'Analysis Settings'!$F$19)/('Analysis Settings'!$F$19-'Analysis Settings'!$E$19)))))</f>
        <v>0.16125958992298431</v>
      </c>
      <c r="H64" s="22">
        <f>IF('Raw Data (0-4 Scores)'!O64='Analysis Settings'!$F$20,'Analysis Settings'!$B$9,1/(1+EXP(-'Analysis Settings'!$B$8*IF('Raw Data (0-4 Scores)'!O64&gt;'Analysis Settings'!$F$20,('Raw Data (0-4 Scores)'!O64-'Analysis Settings'!$F$20)/('Analysis Settings'!$G$20-'Analysis Settings'!$F$20),('Raw Data (0-4 Scores)'!O64-'Analysis Settings'!$F$20)/('Analysis Settings'!$F$20-'Analysis Settings'!$E$20)))))</f>
        <v>3.3677735438351453E-2</v>
      </c>
      <c r="I64" s="22">
        <f>IF('Raw Data (0-4 Scores)'!P64='Analysis Settings'!$F$21,'Analysis Settings'!$B$9,1/(1+EXP(-'Analysis Settings'!$B$8*IF('Raw Data (0-4 Scores)'!P64&gt;'Analysis Settings'!$F$21,('Raw Data (0-4 Scores)'!P64-'Analysis Settings'!$F$21)/('Analysis Settings'!$G$21-'Analysis Settings'!$F$21),('Raw Data (0-4 Scores)'!P64-'Analysis Settings'!$F$21)/('Analysis Settings'!$F$21-'Analysis Settings'!$E$21)))))</f>
        <v>5.590033209290831E-2</v>
      </c>
      <c r="J64" s="22">
        <f t="shared" si="1"/>
        <v>5.590033209290831E-2</v>
      </c>
    </row>
    <row r="65" spans="1:10" ht="15" customHeight="1" x14ac:dyDescent="0.3">
      <c r="A65" s="20" t="str">
        <f>'Raw Data (0-4 Scores)'!A65</f>
        <v>Novatek Microelectronics</v>
      </c>
      <c r="B65" s="20">
        <f>'Raw Data (0-4 Scores)'!E65</f>
        <v>2023</v>
      </c>
      <c r="C65" s="22">
        <f>IF('Raw Data (0-4 Scores)'!J65='Analysis Settings'!$F$15,'Analysis Settings'!$B$9,1/(1+EXP(-'Analysis Settings'!$B$8*IF('Raw Data (0-4 Scores)'!J65&gt;'Analysis Settings'!$F$15,('Raw Data (0-4 Scores)'!J65-'Analysis Settings'!$F$15)/('Analysis Settings'!$G$15-'Analysis Settings'!$F$15),('Raw Data (0-4 Scores)'!J65-'Analysis Settings'!$F$15)/('Analysis Settings'!$F$15-'Analysis Settings'!$E$15)))))</f>
        <v>1.1588305548248447E-2</v>
      </c>
      <c r="D65" s="22">
        <f>IF('Raw Data (0-4 Scores)'!K65='Analysis Settings'!$F$16,'Analysis Settings'!$B$9,1/(1+EXP(-'Analysis Settings'!$B$8*IF('Raw Data (0-4 Scores)'!K65&gt;'Analysis Settings'!$F$16,('Raw Data (0-4 Scores)'!K65-'Analysis Settings'!$F$16)/('Analysis Settings'!$G$16-'Analysis Settings'!$F$16),('Raw Data (0-4 Scores)'!K65-'Analysis Settings'!$F$16)/('Analysis Settings'!$F$16-'Analysis Settings'!$E$16)))))</f>
        <v>4.5967103748543979E-2</v>
      </c>
      <c r="E65" s="22">
        <f>IF('Raw Data (0-4 Scores)'!L65='Analysis Settings'!$F$17,'Analysis Settings'!$B$9,1/(1+EXP(-'Analysis Settings'!$B$8*IF('Raw Data (0-4 Scores)'!L65&gt;'Analysis Settings'!$F$17,('Raw Data (0-4 Scores)'!L65-'Analysis Settings'!$F$17)/('Analysis Settings'!$G$17-'Analysis Settings'!$F$17),('Raw Data (0-4 Scores)'!L65-'Analysis Settings'!$F$17)/('Analysis Settings'!$F$17-'Analysis Settings'!$E$17)))))</f>
        <v>0.39134410295349109</v>
      </c>
      <c r="F65" s="22">
        <f>IF('Raw Data (0-4 Scores)'!M65='Analysis Settings'!$F$18,'Analysis Settings'!$B$9,1/(1+EXP(-'Analysis Settings'!$B$8*IF('Raw Data (0-4 Scores)'!M65&gt;'Analysis Settings'!$F$18,('Raw Data (0-4 Scores)'!M65-'Analysis Settings'!$F$18)/('Analysis Settings'!$G$18-'Analysis Settings'!$F$18),('Raw Data (0-4 Scores)'!M65-'Analysis Settings'!$F$18)/('Analysis Settings'!$F$18-'Analysis Settings'!$E$18)))))</f>
        <v>4.7275762366902646E-2</v>
      </c>
      <c r="G65" s="22">
        <f>IF('Raw Data (0-4 Scores)'!N65='Analysis Settings'!$F$19,'Analysis Settings'!$B$9,1/(1+EXP(-'Analysis Settings'!$B$8*IF('Raw Data (0-4 Scores)'!N65&gt;'Analysis Settings'!$F$19,('Raw Data (0-4 Scores)'!N65-'Analysis Settings'!$F$19)/('Analysis Settings'!$G$19-'Analysis Settings'!$F$19),('Raw Data (0-4 Scores)'!N65-'Analysis Settings'!$F$19)/('Analysis Settings'!$F$19-'Analysis Settings'!$E$19)))))</f>
        <v>0.5586179890472327</v>
      </c>
      <c r="H65" s="22">
        <f>IF('Raw Data (0-4 Scores)'!O65='Analysis Settings'!$F$20,'Analysis Settings'!$B$9,1/(1+EXP(-'Analysis Settings'!$B$8*IF('Raw Data (0-4 Scores)'!O65&gt;'Analysis Settings'!$F$20,('Raw Data (0-4 Scores)'!O65-'Analysis Settings'!$F$20)/('Analysis Settings'!$G$20-'Analysis Settings'!$F$20),('Raw Data (0-4 Scores)'!O65-'Analysis Settings'!$F$20)/('Analysis Settings'!$F$20-'Analysis Settings'!$E$20)))))</f>
        <v>2.7578009343456888E-2</v>
      </c>
      <c r="I65" s="22">
        <f>IF('Raw Data (0-4 Scores)'!P65='Analysis Settings'!$F$21,'Analysis Settings'!$B$9,1/(1+EXP(-'Analysis Settings'!$B$8*IF('Raw Data (0-4 Scores)'!P65&gt;'Analysis Settings'!$F$21,('Raw Data (0-4 Scores)'!P65-'Analysis Settings'!$F$21)/('Analysis Settings'!$G$21-'Analysis Settings'!$F$21),('Raw Data (0-4 Scores)'!P65-'Analysis Settings'!$F$21)/('Analysis Settings'!$F$21-'Analysis Settings'!$E$21)))))</f>
        <v>0.5730837229612793</v>
      </c>
      <c r="J65" s="22">
        <f t="shared" si="1"/>
        <v>0.4269162770387207</v>
      </c>
    </row>
    <row r="66" spans="1:10" ht="15" customHeight="1" x14ac:dyDescent="0.3">
      <c r="A66" s="20" t="str">
        <f>'Raw Data (0-4 Scores)'!A66</f>
        <v>Novatek Microelectronics</v>
      </c>
      <c r="B66" s="20">
        <f>'Raw Data (0-4 Scores)'!E66</f>
        <v>2024</v>
      </c>
      <c r="C66" s="22">
        <f>IF('Raw Data (0-4 Scores)'!J66='Analysis Settings'!$F$15,'Analysis Settings'!$B$9,1/(1+EXP(-'Analysis Settings'!$B$8*IF('Raw Data (0-4 Scores)'!J66&gt;'Analysis Settings'!$F$15,('Raw Data (0-4 Scores)'!J66-'Analysis Settings'!$F$15)/('Analysis Settings'!$G$15-'Analysis Settings'!$F$15),('Raw Data (0-4 Scores)'!J66-'Analysis Settings'!$F$15)/('Analysis Settings'!$F$15-'Analysis Settings'!$E$15)))))</f>
        <v>5.590033209290831E-2</v>
      </c>
      <c r="D66" s="22">
        <f>IF('Raw Data (0-4 Scores)'!K66='Analysis Settings'!$F$16,'Analysis Settings'!$B$9,1/(1+EXP(-'Analysis Settings'!$B$8*IF('Raw Data (0-4 Scores)'!K66&gt;'Analysis Settings'!$F$16,('Raw Data (0-4 Scores)'!K66-'Analysis Settings'!$F$16)/('Analysis Settings'!$G$16-'Analysis Settings'!$F$16),('Raw Data (0-4 Scores)'!K66-'Analysis Settings'!$F$16)/('Analysis Settings'!$F$16-'Analysis Settings'!$E$16)))))</f>
        <v>8.6625545088092101E-2</v>
      </c>
      <c r="E66" s="22">
        <f>IF('Raw Data (0-4 Scores)'!L66='Analysis Settings'!$F$17,'Analysis Settings'!$B$9,1/(1+EXP(-'Analysis Settings'!$B$8*IF('Raw Data (0-4 Scores)'!L66&gt;'Analysis Settings'!$F$17,('Raw Data (0-4 Scores)'!L66-'Analysis Settings'!$F$17)/('Analysis Settings'!$G$17-'Analysis Settings'!$F$17),('Raw Data (0-4 Scores)'!L66-'Analysis Settings'!$F$17)/('Analysis Settings'!$F$17-'Analysis Settings'!$E$17)))))</f>
        <v>0.52941040032067899</v>
      </c>
      <c r="F66" s="22">
        <f>IF('Raw Data (0-4 Scores)'!M66='Analysis Settings'!$F$18,'Analysis Settings'!$B$9,1/(1+EXP(-'Analysis Settings'!$B$8*IF('Raw Data (0-4 Scores)'!M66&gt;'Analysis Settings'!$F$18,('Raw Data (0-4 Scores)'!M66-'Analysis Settings'!$F$18)/('Analysis Settings'!$G$18-'Analysis Settings'!$F$18),('Raw Data (0-4 Scores)'!M66-'Analysis Settings'!$F$18)/('Analysis Settings'!$F$18-'Analysis Settings'!$E$18)))))</f>
        <v>6.4197542640305805E-2</v>
      </c>
      <c r="G66" s="22">
        <f>IF('Raw Data (0-4 Scores)'!N66='Analysis Settings'!$F$19,'Analysis Settings'!$B$9,1/(1+EXP(-'Analysis Settings'!$B$8*IF('Raw Data (0-4 Scores)'!N66&gt;'Analysis Settings'!$F$19,('Raw Data (0-4 Scores)'!N66-'Analysis Settings'!$F$19)/('Analysis Settings'!$G$19-'Analysis Settings'!$F$19),('Raw Data (0-4 Scores)'!N66-'Analysis Settings'!$F$19)/('Analysis Settings'!$F$19-'Analysis Settings'!$E$19)))))</f>
        <v>0.42691627703872076</v>
      </c>
      <c r="H66" s="22">
        <f>IF('Raw Data (0-4 Scores)'!O66='Analysis Settings'!$F$20,'Analysis Settings'!$B$9,1/(1+EXP(-'Analysis Settings'!$B$8*IF('Raw Data (0-4 Scores)'!O66&gt;'Analysis Settings'!$F$20,('Raw Data (0-4 Scores)'!O66-'Analysis Settings'!$F$20)/('Analysis Settings'!$G$20-'Analysis Settings'!$F$20),('Raw Data (0-4 Scores)'!O66-'Analysis Settings'!$F$20)/('Analysis Settings'!$F$20-'Analysis Settings'!$E$20)))))</f>
        <v>4.2245027618854757E-2</v>
      </c>
      <c r="I66" s="22">
        <f>IF('Raw Data (0-4 Scores)'!P66='Analysis Settings'!$F$21,'Analysis Settings'!$B$9,1/(1+EXP(-'Analysis Settings'!$B$8*IF('Raw Data (0-4 Scores)'!P66&gt;'Analysis Settings'!$F$21,('Raw Data (0-4 Scores)'!P66-'Analysis Settings'!$F$21)/('Analysis Settings'!$G$21-'Analysis Settings'!$F$21),('Raw Data (0-4 Scores)'!P66-'Analysis Settings'!$F$21)/('Analysis Settings'!$F$21-'Analysis Settings'!$E$21)))))</f>
        <v>0.54405206850190257</v>
      </c>
      <c r="J66" s="22">
        <f t="shared" ref="J66:J97" si="2">MIN(I66,1-I66)</f>
        <v>0.45594793149809743</v>
      </c>
    </row>
    <row r="67" spans="1:10" ht="15" customHeight="1" x14ac:dyDescent="0.3">
      <c r="A67" s="20" t="str">
        <f>'Raw Data (0-4 Scores)'!A67</f>
        <v>Novatek Microelectronics</v>
      </c>
      <c r="B67" s="20">
        <f>'Raw Data (0-4 Scores)'!E67</f>
        <v>2025</v>
      </c>
      <c r="C67" s="22">
        <f>IF('Raw Data (0-4 Scores)'!J67='Analysis Settings'!$F$15,'Analysis Settings'!$B$9,1/(1+EXP(-'Analysis Settings'!$B$8*IF('Raw Data (0-4 Scores)'!J67&gt;'Analysis Settings'!$F$15,('Raw Data (0-4 Scores)'!J67-'Analysis Settings'!$F$15)/('Analysis Settings'!$G$15-'Analysis Settings'!$F$15),('Raw Data (0-4 Scores)'!J67-'Analysis Settings'!$F$15)/('Analysis Settings'!$F$15-'Analysis Settings'!$E$15)))))</f>
        <v>0.12528250695786336</v>
      </c>
      <c r="D67" s="22">
        <f>IF('Raw Data (0-4 Scores)'!K67='Analysis Settings'!$F$16,'Analysis Settings'!$B$9,1/(1+EXP(-'Analysis Settings'!$B$8*IF('Raw Data (0-4 Scores)'!K67&gt;'Analysis Settings'!$F$16,('Raw Data (0-4 Scores)'!K67-'Analysis Settings'!$F$16)/('Analysis Settings'!$G$16-'Analysis Settings'!$F$16),('Raw Data (0-4 Scores)'!K67-'Analysis Settings'!$F$16)/('Analysis Settings'!$F$16-'Analysis Settings'!$E$16)))))</f>
        <v>0.2199240956723113</v>
      </c>
      <c r="E67" s="22">
        <f>IF('Raw Data (0-4 Scores)'!L67='Analysis Settings'!$F$17,'Analysis Settings'!$B$9,1/(1+EXP(-'Analysis Settings'!$B$8*IF('Raw Data (0-4 Scores)'!L67&gt;'Analysis Settings'!$F$17,('Raw Data (0-4 Scores)'!L67-'Analysis Settings'!$F$17)/('Analysis Settings'!$G$17-'Analysis Settings'!$F$17),('Raw Data (0-4 Scores)'!L67-'Analysis Settings'!$F$17)/('Analysis Settings'!$F$17-'Analysis Settings'!$E$17)))))</f>
        <v>0.63632374540102199</v>
      </c>
      <c r="F67" s="22">
        <f>IF('Raw Data (0-4 Scores)'!M67='Analysis Settings'!$F$18,'Analysis Settings'!$B$9,1/(1+EXP(-'Analysis Settings'!$B$8*IF('Raw Data (0-4 Scores)'!M67&gt;'Analysis Settings'!$F$18,('Raw Data (0-4 Scores)'!M67-'Analysis Settings'!$F$18)/('Analysis Settings'!$G$18-'Analysis Settings'!$F$18),('Raw Data (0-4 Scores)'!M67-'Analysis Settings'!$F$18)/('Analysis Settings'!$F$18-'Analysis Settings'!$E$18)))))</f>
        <v>0.35689008625740209</v>
      </c>
      <c r="G67" s="22">
        <f>IF('Raw Data (0-4 Scores)'!N67='Analysis Settings'!$F$19,'Analysis Settings'!$B$9,1/(1+EXP(-'Analysis Settings'!$B$8*IF('Raw Data (0-4 Scores)'!N67&gt;'Analysis Settings'!$F$19,('Raw Data (0-4 Scores)'!N67-'Analysis Settings'!$F$19)/('Analysis Settings'!$G$19-'Analysis Settings'!$F$19),('Raw Data (0-4 Scores)'!N67-'Analysis Settings'!$F$19)/('Analysis Settings'!$F$19-'Analysis Settings'!$E$19)))))</f>
        <v>0.70138195688407712</v>
      </c>
      <c r="H67" s="22">
        <f>IF('Raw Data (0-4 Scores)'!O67='Analysis Settings'!$F$20,'Analysis Settings'!$B$9,1/(1+EXP(-'Analysis Settings'!$B$8*IF('Raw Data (0-4 Scores)'!O67&gt;'Analysis Settings'!$F$20,('Raw Data (0-4 Scores)'!O67-'Analysis Settings'!$F$20)/('Analysis Settings'!$G$20-'Analysis Settings'!$F$20),('Raw Data (0-4 Scores)'!O67-'Analysis Settings'!$F$20)/('Analysis Settings'!$F$20-'Analysis Settings'!$E$20)))))</f>
        <v>6.7827466774720027E-2</v>
      </c>
      <c r="I67" s="22">
        <f>IF('Raw Data (0-4 Scores)'!P67='Analysis Settings'!$F$21,'Analysis Settings'!$B$9,1/(1+EXP(-'Analysis Settings'!$B$8*IF('Raw Data (0-4 Scores)'!P67&gt;'Analysis Settings'!$F$21,('Raw Data (0-4 Scores)'!P67-'Analysis Settings'!$F$21)/('Analysis Settings'!$G$21-'Analysis Settings'!$F$21),('Raw Data (0-4 Scores)'!P67-'Analysis Settings'!$F$21)/('Analysis Settings'!$F$21-'Analysis Settings'!$E$21)))))</f>
        <v>0.7537821731445562</v>
      </c>
      <c r="J67" s="22">
        <f t="shared" si="2"/>
        <v>0.2462178268554438</v>
      </c>
    </row>
    <row r="68" spans="1:10" ht="15" customHeight="1" x14ac:dyDescent="0.3">
      <c r="A68" s="20" t="str">
        <f>'Raw Data (0-4 Scores)'!A68</f>
        <v>Phison Electronics</v>
      </c>
      <c r="B68" s="20">
        <f>'Raw Data (0-4 Scores)'!E68</f>
        <v>2023</v>
      </c>
      <c r="C68" s="22">
        <f>IF('Raw Data (0-4 Scores)'!J68='Analysis Settings'!$F$15,'Analysis Settings'!$B$9,1/(1+EXP(-'Analysis Settings'!$B$8*IF('Raw Data (0-4 Scores)'!J68&gt;'Analysis Settings'!$F$15,('Raw Data (0-4 Scores)'!J68-'Analysis Settings'!$F$15)/('Analysis Settings'!$G$15-'Analysis Settings'!$F$15),('Raw Data (0-4 Scores)'!J68-'Analysis Settings'!$F$15)/('Analysis Settings'!$F$15-'Analysis Settings'!$E$15)))))</f>
        <v>0.84654741782144594</v>
      </c>
      <c r="D68" s="22">
        <f>IF('Raw Data (0-4 Scores)'!K68='Analysis Settings'!$F$16,'Analysis Settings'!$B$9,1/(1+EXP(-'Analysis Settings'!$B$8*IF('Raw Data (0-4 Scores)'!K68&gt;'Analysis Settings'!$F$16,('Raw Data (0-4 Scores)'!K68-'Analysis Settings'!$F$16)/('Analysis Settings'!$G$16-'Analysis Settings'!$F$16),('Raw Data (0-4 Scores)'!K68-'Analysis Settings'!$F$16)/('Analysis Settings'!$F$16-'Analysis Settings'!$E$16)))))</f>
        <v>0.10166272693078893</v>
      </c>
      <c r="E68" s="22">
        <f>IF('Raw Data (0-4 Scores)'!L68='Analysis Settings'!$F$17,'Analysis Settings'!$B$9,1/(1+EXP(-'Analysis Settings'!$B$8*IF('Raw Data (0-4 Scores)'!L68&gt;'Analysis Settings'!$F$17,('Raw Data (0-4 Scores)'!L68-'Analysis Settings'!$F$17)/('Analysis Settings'!$G$17-'Analysis Settings'!$F$17),('Raw Data (0-4 Scores)'!L68-'Analysis Settings'!$F$17)/('Analysis Settings'!$F$17-'Analysis Settings'!$E$17)))))</f>
        <v>0.99723756906077354</v>
      </c>
      <c r="F68" s="22">
        <f>IF('Raw Data (0-4 Scores)'!M68='Analysis Settings'!$F$18,'Analysis Settings'!$B$9,1/(1+EXP(-'Analysis Settings'!$B$8*IF('Raw Data (0-4 Scores)'!M68&gt;'Analysis Settings'!$F$18,('Raw Data (0-4 Scores)'!M68-'Analysis Settings'!$F$18)/('Analysis Settings'!$G$18-'Analysis Settings'!$F$18),('Raw Data (0-4 Scores)'!M68-'Analysis Settings'!$F$18)/('Analysis Settings'!$F$18-'Analysis Settings'!$E$18)))))</f>
        <v>0.26297678305924121</v>
      </c>
      <c r="G68" s="22">
        <f>IF('Raw Data (0-4 Scores)'!N68='Analysis Settings'!$F$19,'Analysis Settings'!$B$9,1/(1+EXP(-'Analysis Settings'!$B$8*IF('Raw Data (0-4 Scores)'!N68&gt;'Analysis Settings'!$F$19,('Raw Data (0-4 Scores)'!N68-'Analysis Settings'!$F$19)/('Analysis Settings'!$G$19-'Analysis Settings'!$F$19),('Raw Data (0-4 Scores)'!N68-'Analysis Settings'!$F$19)/('Analysis Settings'!$F$19-'Analysis Settings'!$E$19)))))</f>
        <v>0.25172328845138858</v>
      </c>
      <c r="H68" s="22">
        <f>IF('Raw Data (0-4 Scores)'!O68='Analysis Settings'!$F$20,'Analysis Settings'!$B$9,1/(1+EXP(-'Analysis Settings'!$B$8*IF('Raw Data (0-4 Scores)'!O68&gt;'Analysis Settings'!$F$20,('Raw Data (0-4 Scores)'!O68-'Analysis Settings'!$F$20)/('Analysis Settings'!$G$20-'Analysis Settings'!$F$20),('Raw Data (0-4 Scores)'!O68-'Analysis Settings'!$F$20)/('Analysis Settings'!$F$20-'Analysis Settings'!$E$20)))))</f>
        <v>2.9201966786224057E-2</v>
      </c>
      <c r="I68" s="22">
        <f>IF('Raw Data (0-4 Scores)'!P68='Analysis Settings'!$F$21,'Analysis Settings'!$B$9,1/(1+EXP(-'Analysis Settings'!$B$8*IF('Raw Data (0-4 Scores)'!P68&gt;'Analysis Settings'!$F$21,('Raw Data (0-4 Scores)'!P68-'Analysis Settings'!$F$21)/('Analysis Settings'!$G$21-'Analysis Settings'!$F$21),('Raw Data (0-4 Scores)'!P68-'Analysis Settings'!$F$21)/('Analysis Settings'!$F$21-'Analysis Settings'!$E$21)))))</f>
        <v>0.24621782685544383</v>
      </c>
      <c r="J68" s="22">
        <f t="shared" si="2"/>
        <v>0.24621782685544383</v>
      </c>
    </row>
    <row r="69" spans="1:10" ht="15" customHeight="1" x14ac:dyDescent="0.3">
      <c r="A69" s="20" t="str">
        <f>'Raw Data (0-4 Scores)'!A69</f>
        <v>Phison Electronics</v>
      </c>
      <c r="B69" s="20">
        <f>'Raw Data (0-4 Scores)'!E69</f>
        <v>2024</v>
      </c>
      <c r="C69" s="22">
        <f>IF('Raw Data (0-4 Scores)'!J69='Analysis Settings'!$F$15,'Analysis Settings'!$B$9,1/(1+EXP(-'Analysis Settings'!$B$8*IF('Raw Data (0-4 Scores)'!J69&gt;'Analysis Settings'!$F$15,('Raw Data (0-4 Scores)'!J69-'Analysis Settings'!$F$15)/('Analysis Settings'!$G$15-'Analysis Settings'!$F$15),('Raw Data (0-4 Scores)'!J69-'Analysis Settings'!$F$15)/('Analysis Settings'!$F$15-'Analysis Settings'!$E$15)))))</f>
        <v>0.9156759617646506</v>
      </c>
      <c r="D69" s="22">
        <f>IF('Raw Data (0-4 Scores)'!K69='Analysis Settings'!$F$16,'Analysis Settings'!$B$9,1/(1+EXP(-'Analysis Settings'!$B$8*IF('Raw Data (0-4 Scores)'!K69&gt;'Analysis Settings'!$F$16,('Raw Data (0-4 Scores)'!K69-'Analysis Settings'!$F$16)/('Analysis Settings'!$G$16-'Analysis Settings'!$F$16),('Raw Data (0-4 Scores)'!K69-'Analysis Settings'!$F$16)/('Analysis Settings'!$F$16-'Analysis Settings'!$E$16)))))</f>
        <v>3.3677735438351453E-2</v>
      </c>
      <c r="E69" s="22">
        <f>IF('Raw Data (0-4 Scores)'!L69='Analysis Settings'!$F$17,'Analysis Settings'!$B$9,1/(1+EXP(-'Analysis Settings'!$B$8*IF('Raw Data (0-4 Scores)'!L69&gt;'Analysis Settings'!$F$17,('Raw Data (0-4 Scores)'!L69-'Analysis Settings'!$F$17)/('Analysis Settings'!$G$17-'Analysis Settings'!$F$17),('Raw Data (0-4 Scores)'!L69-'Analysis Settings'!$F$17)/('Analysis Settings'!$F$17-'Analysis Settings'!$E$17)))))</f>
        <v>0.9947334608459798</v>
      </c>
      <c r="F69" s="22">
        <f>IF('Raw Data (0-4 Scores)'!M69='Analysis Settings'!$F$18,'Analysis Settings'!$B$9,1/(1+EXP(-'Analysis Settings'!$B$8*IF('Raw Data (0-4 Scores)'!M69&gt;'Analysis Settings'!$F$18,('Raw Data (0-4 Scores)'!M69-'Analysis Settings'!$F$18)/('Analysis Settings'!$G$18-'Analysis Settings'!$F$18),('Raw Data (0-4 Scores)'!M69-'Analysis Settings'!$F$18)/('Analysis Settings'!$F$18-'Analysis Settings'!$E$18)))))</f>
        <v>0.42691627703872076</v>
      </c>
      <c r="G69" s="22">
        <f>IF('Raw Data (0-4 Scores)'!N69='Analysis Settings'!$F$19,'Analysis Settings'!$B$9,1/(1+EXP(-'Analysis Settings'!$B$8*IF('Raw Data (0-4 Scores)'!N69&gt;'Analysis Settings'!$F$19,('Raw Data (0-4 Scores)'!N69-'Analysis Settings'!$F$19)/('Analysis Settings'!$G$19-'Analysis Settings'!$F$19),('Raw Data (0-4 Scores)'!N69-'Analysis Settings'!$F$19)/('Analysis Settings'!$F$19-'Analysis Settings'!$E$19)))))</f>
        <v>0.5730837229612793</v>
      </c>
      <c r="H69" s="22">
        <f>IF('Raw Data (0-4 Scores)'!O69='Analysis Settings'!$F$20,'Analysis Settings'!$B$9,1/(1+EXP(-'Analysis Settings'!$B$8*IF('Raw Data (0-4 Scores)'!O69&gt;'Analysis Settings'!$F$20,('Raw Data (0-4 Scores)'!O69-'Analysis Settings'!$F$20)/('Analysis Settings'!$G$20-'Analysis Settings'!$F$20),('Raw Data (0-4 Scores)'!O69-'Analysis Settings'!$F$20)/('Analysis Settings'!$F$20-'Analysis Settings'!$E$20)))))</f>
        <v>2.5305450447482655E-2</v>
      </c>
      <c r="I69" s="22">
        <f>IF('Raw Data (0-4 Scores)'!P69='Analysis Settings'!$F$21,'Analysis Settings'!$B$9,1/(1+EXP(-'Analysis Settings'!$B$8*IF('Raw Data (0-4 Scores)'!P69&gt;'Analysis Settings'!$F$21,('Raw Data (0-4 Scores)'!P69-'Analysis Settings'!$F$21)/('Analysis Settings'!$G$21-'Analysis Settings'!$F$21),('Raw Data (0-4 Scores)'!P69-'Analysis Settings'!$F$21)/('Analysis Settings'!$F$21-'Analysis Settings'!$E$21)))))</f>
        <v>0.62948288252328699</v>
      </c>
      <c r="J69" s="22">
        <f t="shared" si="2"/>
        <v>0.37051711747671301</v>
      </c>
    </row>
    <row r="70" spans="1:10" ht="15" customHeight="1" x14ac:dyDescent="0.3">
      <c r="A70" s="20" t="str">
        <f>'Raw Data (0-4 Scores)'!A70</f>
        <v>Phison Electronics</v>
      </c>
      <c r="B70" s="20">
        <f>'Raw Data (0-4 Scores)'!E70</f>
        <v>2025</v>
      </c>
      <c r="C70" s="22">
        <f>IF('Raw Data (0-4 Scores)'!J70='Analysis Settings'!$F$15,'Analysis Settings'!$B$9,1/(1+EXP(-'Analysis Settings'!$B$8*IF('Raw Data (0-4 Scores)'!J70&gt;'Analysis Settings'!$F$15,('Raw Data (0-4 Scores)'!J70-'Analysis Settings'!$F$15)/('Analysis Settings'!$G$15-'Analysis Settings'!$F$15),('Raw Data (0-4 Scores)'!J70-'Analysis Settings'!$F$15)/('Analysis Settings'!$F$15-'Analysis Settings'!$E$15)))))</f>
        <v>0.98156672650334342</v>
      </c>
      <c r="D70" s="22">
        <f>IF('Raw Data (0-4 Scores)'!K70='Analysis Settings'!$F$16,'Analysis Settings'!$B$9,1/(1+EXP(-'Analysis Settings'!$B$8*IF('Raw Data (0-4 Scores)'!K70&gt;'Analysis Settings'!$F$16,('Raw Data (0-4 Scores)'!K70-'Analysis Settings'!$F$16)/('Analysis Settings'!$G$16-'Analysis Settings'!$F$16),('Raw Data (0-4 Scores)'!K70-'Analysis Settings'!$F$16)/('Analysis Settings'!$F$16-'Analysis Settings'!$E$16)))))</f>
        <v>0.31744161997163201</v>
      </c>
      <c r="E70" s="22">
        <f>IF('Raw Data (0-4 Scores)'!L70='Analysis Settings'!$F$17,'Analysis Settings'!$B$9,1/(1+EXP(-'Analysis Settings'!$B$8*IF('Raw Data (0-4 Scores)'!L70&gt;'Analysis Settings'!$F$17,('Raw Data (0-4 Scores)'!L70-'Analysis Settings'!$F$17)/('Analysis Settings'!$G$17-'Analysis Settings'!$F$17),('Raw Data (0-4 Scores)'!L70-'Analysis Settings'!$F$17)/('Analysis Settings'!$F$17-'Analysis Settings'!$E$17)))))</f>
        <v>0.99723756906077354</v>
      </c>
      <c r="F70" s="22">
        <f>IF('Raw Data (0-4 Scores)'!M70='Analysis Settings'!$F$18,'Analysis Settings'!$B$9,1/(1+EXP(-'Analysis Settings'!$B$8*IF('Raw Data (0-4 Scores)'!M70&gt;'Analysis Settings'!$F$18,('Raw Data (0-4 Scores)'!M70-'Analysis Settings'!$F$18)/('Analysis Settings'!$G$18-'Analysis Settings'!$F$18),('Raw Data (0-4 Scores)'!M70-'Analysis Settings'!$F$18)/('Analysis Settings'!$F$18-'Analysis Settings'!$E$18)))))</f>
        <v>0.87145501630212008</v>
      </c>
      <c r="G70" s="22">
        <f>IF('Raw Data (0-4 Scores)'!N70='Analysis Settings'!$F$19,'Analysis Settings'!$B$9,1/(1+EXP(-'Analysis Settings'!$B$8*IF('Raw Data (0-4 Scores)'!N70&gt;'Analysis Settings'!$F$19,('Raw Data (0-4 Scores)'!N70-'Analysis Settings'!$F$19)/('Analysis Settings'!$G$19-'Analysis Settings'!$F$19),('Raw Data (0-4 Scores)'!N70-'Analysis Settings'!$F$19)/('Analysis Settings'!$F$19-'Analysis Settings'!$E$19)))))</f>
        <v>0.501</v>
      </c>
      <c r="H70" s="22">
        <f>IF('Raw Data (0-4 Scores)'!O70='Analysis Settings'!$F$20,'Analysis Settings'!$B$9,1/(1+EXP(-'Analysis Settings'!$B$8*IF('Raw Data (0-4 Scores)'!O70&gt;'Analysis Settings'!$F$20,('Raw Data (0-4 Scores)'!O70-'Analysis Settings'!$F$20)/('Analysis Settings'!$G$20-'Analysis Settings'!$F$20),('Raw Data (0-4 Scores)'!O70-'Analysis Settings'!$F$20)/('Analysis Settings'!$F$20-'Analysis Settings'!$E$20)))))</f>
        <v>3.2732556729938203E-2</v>
      </c>
      <c r="I70" s="22">
        <f>IF('Raw Data (0-4 Scores)'!P70='Analysis Settings'!$F$21,'Analysis Settings'!$B$9,1/(1+EXP(-'Analysis Settings'!$B$8*IF('Raw Data (0-4 Scores)'!P70&gt;'Analysis Settings'!$F$21,('Raw Data (0-4 Scores)'!P70-'Analysis Settings'!$F$21)/('Analysis Settings'!$G$21-'Analysis Settings'!$F$21),('Raw Data (0-4 Scores)'!P70-'Analysis Settings'!$F$21)/('Analysis Settings'!$F$21-'Analysis Settings'!$E$21)))))</f>
        <v>0.37741033837683791</v>
      </c>
      <c r="J70" s="22">
        <f t="shared" si="2"/>
        <v>0.37741033837683791</v>
      </c>
    </row>
    <row r="71" spans="1:10" ht="15" customHeight="1" x14ac:dyDescent="0.3">
      <c r="A71" s="20" t="str">
        <f>'Raw Data (0-4 Scores)'!A71</f>
        <v>Qualcomm Incorporated</v>
      </c>
      <c r="B71" s="20">
        <f>'Raw Data (0-4 Scores)'!E71</f>
        <v>2023</v>
      </c>
      <c r="C71" s="22">
        <f>IF('Raw Data (0-4 Scores)'!J71='Analysis Settings'!$F$15,'Analysis Settings'!$B$9,1/(1+EXP(-'Analysis Settings'!$B$8*IF('Raw Data (0-4 Scores)'!J71&gt;'Analysis Settings'!$F$15,('Raw Data (0-4 Scores)'!J71-'Analysis Settings'!$F$15)/('Analysis Settings'!$G$15-'Analysis Settings'!$F$15),('Raw Data (0-4 Scores)'!J71-'Analysis Settings'!$F$15)/('Analysis Settings'!$F$15-'Analysis Settings'!$E$15)))))</f>
        <v>0.7537821731445562</v>
      </c>
      <c r="D71" s="22">
        <f>IF('Raw Data (0-4 Scores)'!K71='Analysis Settings'!$F$16,'Analysis Settings'!$B$9,1/(1+EXP(-'Analysis Settings'!$B$8*IF('Raw Data (0-4 Scores)'!K71&gt;'Analysis Settings'!$F$16,('Raw Data (0-4 Scores)'!K71-'Analysis Settings'!$F$16)/('Analysis Settings'!$G$16-'Analysis Settings'!$F$16),('Raw Data (0-4 Scores)'!K71-'Analysis Settings'!$F$16)/('Analysis Settings'!$F$16-'Analysis Settings'!$E$16)))))</f>
        <v>0.9156759617646506</v>
      </c>
      <c r="E71" s="22">
        <f>IF('Raw Data (0-4 Scores)'!L71='Analysis Settings'!$F$17,'Analysis Settings'!$B$9,1/(1+EXP(-'Analysis Settings'!$B$8*IF('Raw Data (0-4 Scores)'!L71&gt;'Analysis Settings'!$F$17,('Raw Data (0-4 Scores)'!L71-'Analysis Settings'!$F$17)/('Analysis Settings'!$G$17-'Analysis Settings'!$F$17),('Raw Data (0-4 Scores)'!L71-'Analysis Settings'!$F$17)/('Analysis Settings'!$F$17-'Analysis Settings'!$E$17)))))</f>
        <v>0.91792181600755884</v>
      </c>
      <c r="F71" s="22">
        <f>IF('Raw Data (0-4 Scores)'!M71='Analysis Settings'!$F$18,'Analysis Settings'!$B$9,1/(1+EXP(-'Analysis Settings'!$B$8*IF('Raw Data (0-4 Scores)'!M71&gt;'Analysis Settings'!$F$18,('Raw Data (0-4 Scores)'!M71-'Analysis Settings'!$F$18)/('Analysis Settings'!$G$18-'Analysis Settings'!$F$18),('Raw Data (0-4 Scores)'!M71-'Analysis Settings'!$F$18)/('Analysis Settings'!$F$18-'Analysis Settings'!$E$18)))))</f>
        <v>0.17783159064496304</v>
      </c>
      <c r="G71" s="22">
        <f>IF('Raw Data (0-4 Scores)'!N71='Analysis Settings'!$F$19,'Analysis Settings'!$B$9,1/(1+EXP(-'Analysis Settings'!$B$8*IF('Raw Data (0-4 Scores)'!N71&gt;'Analysis Settings'!$F$19,('Raw Data (0-4 Scores)'!N71-'Analysis Settings'!$F$19)/('Analysis Settings'!$G$19-'Analysis Settings'!$F$19),('Raw Data (0-4 Scores)'!N71-'Analysis Settings'!$F$19)/('Analysis Settings'!$F$19-'Analysis Settings'!$E$19)))))</f>
        <v>0.9243359983415621</v>
      </c>
      <c r="H71" s="22">
        <f>IF('Raw Data (0-4 Scores)'!O71='Analysis Settings'!$F$20,'Analysis Settings'!$B$9,1/(1+EXP(-'Analysis Settings'!$B$8*IF('Raw Data (0-4 Scores)'!O71&gt;'Analysis Settings'!$F$20,('Raw Data (0-4 Scores)'!O71-'Analysis Settings'!$F$20)/('Analysis Settings'!$G$20-'Analysis Settings'!$F$20),('Raw Data (0-4 Scores)'!O71-'Analysis Settings'!$F$20)/('Analysis Settings'!$F$20-'Analysis Settings'!$E$20)))))</f>
        <v>0.35016086473629304</v>
      </c>
      <c r="I71" s="22">
        <f>IF('Raw Data (0-4 Scores)'!P71='Analysis Settings'!$F$21,'Analysis Settings'!$B$9,1/(1+EXP(-'Analysis Settings'!$B$8*IF('Raw Data (0-4 Scores)'!P71&gt;'Analysis Settings'!$F$21,('Raw Data (0-4 Scores)'!P71-'Analysis Settings'!$F$21)/('Analysis Settings'!$G$21-'Analysis Settings'!$F$21),('Raw Data (0-4 Scores)'!P71-'Analysis Settings'!$F$21)/('Analysis Settings'!$F$21-'Analysis Settings'!$E$21)))))</f>
        <v>0.93217253322527993</v>
      </c>
      <c r="J71" s="22">
        <f t="shared" si="2"/>
        <v>6.7827466774720069E-2</v>
      </c>
    </row>
    <row r="72" spans="1:10" ht="15" customHeight="1" x14ac:dyDescent="0.3">
      <c r="A72" s="20" t="str">
        <f>'Raw Data (0-4 Scores)'!A72</f>
        <v>Qualcomm Incorporated</v>
      </c>
      <c r="B72" s="20">
        <f>'Raw Data (0-4 Scores)'!E72</f>
        <v>2024</v>
      </c>
      <c r="C72" s="22">
        <f>IF('Raw Data (0-4 Scores)'!J72='Analysis Settings'!$F$15,'Analysis Settings'!$B$9,1/(1+EXP(-'Analysis Settings'!$B$8*IF('Raw Data (0-4 Scores)'!J72&gt;'Analysis Settings'!$F$15,('Raw Data (0-4 Scores)'!J72-'Analysis Settings'!$F$15)/('Analysis Settings'!$G$15-'Analysis Settings'!$F$15),('Raw Data (0-4 Scores)'!J72-'Analysis Settings'!$F$15)/('Analysis Settings'!$F$15-'Analysis Settings'!$E$15)))))</f>
        <v>0.96118792333927039</v>
      </c>
      <c r="D72" s="22">
        <f>IF('Raw Data (0-4 Scores)'!K72='Analysis Settings'!$F$16,'Analysis Settings'!$B$9,1/(1+EXP(-'Analysis Settings'!$B$8*IF('Raw Data (0-4 Scores)'!K72&gt;'Analysis Settings'!$F$16,('Raw Data (0-4 Scores)'!K72-'Analysis Settings'!$F$16)/('Analysis Settings'!$G$16-'Analysis Settings'!$F$16),('Raw Data (0-4 Scores)'!K72-'Analysis Settings'!$F$16)/('Analysis Settings'!$F$16-'Analysis Settings'!$E$16)))))</f>
        <v>0.95000000000000007</v>
      </c>
      <c r="E72" s="22">
        <f>IF('Raw Data (0-4 Scores)'!L72='Analysis Settings'!$F$17,'Analysis Settings'!$B$9,1/(1+EXP(-'Analysis Settings'!$B$8*IF('Raw Data (0-4 Scores)'!L72&gt;'Analysis Settings'!$F$17,('Raw Data (0-4 Scores)'!L72-'Analysis Settings'!$F$17)/('Analysis Settings'!$G$17-'Analysis Settings'!$F$17),('Raw Data (0-4 Scores)'!L72-'Analysis Settings'!$F$17)/('Analysis Settings'!$F$17-'Analysis Settings'!$E$17)))))</f>
        <v>0.92835307627002983</v>
      </c>
      <c r="F72" s="22">
        <f>IF('Raw Data (0-4 Scores)'!M72='Analysis Settings'!$F$18,'Analysis Settings'!$B$9,1/(1+EXP(-'Analysis Settings'!$B$8*IF('Raw Data (0-4 Scores)'!M72&gt;'Analysis Settings'!$F$18,('Raw Data (0-4 Scores)'!M72-'Analysis Settings'!$F$18)/('Analysis Settings'!$G$18-'Analysis Settings'!$F$18),('Raw Data (0-4 Scores)'!M72-'Analysis Settings'!$F$18)/('Analysis Settings'!$F$18-'Analysis Settings'!$E$18)))))</f>
        <v>0.53673915323893306</v>
      </c>
      <c r="G72" s="22">
        <f>IF('Raw Data (0-4 Scores)'!N72='Analysis Settings'!$F$19,'Analysis Settings'!$B$9,1/(1+EXP(-'Analysis Settings'!$B$8*IF('Raw Data (0-4 Scores)'!N72&gt;'Analysis Settings'!$F$19,('Raw Data (0-4 Scores)'!N72-'Analysis Settings'!$F$19)/('Analysis Settings'!$G$19-'Analysis Settings'!$F$19),('Raw Data (0-4 Scores)'!N72-'Analysis Settings'!$F$19)/('Analysis Settings'!$F$19-'Analysis Settings'!$E$19)))))</f>
        <v>0.96227157328992696</v>
      </c>
      <c r="H72" s="22">
        <f>IF('Raw Data (0-4 Scores)'!O72='Analysis Settings'!$F$20,'Analysis Settings'!$B$9,1/(1+EXP(-'Analysis Settings'!$B$8*IF('Raw Data (0-4 Scores)'!O72&gt;'Analysis Settings'!$F$20,('Raw Data (0-4 Scores)'!O72-'Analysis Settings'!$F$20)/('Analysis Settings'!$G$20-'Analysis Settings'!$F$20),('Raw Data (0-4 Scores)'!O72-'Analysis Settings'!$F$20)/('Analysis Settings'!$F$20-'Analysis Settings'!$E$20)))))</f>
        <v>0.59454272280242249</v>
      </c>
      <c r="I72" s="22">
        <f>IF('Raw Data (0-4 Scores)'!P72='Analysis Settings'!$F$21,'Analysis Settings'!$B$9,1/(1+EXP(-'Analysis Settings'!$B$8*IF('Raw Data (0-4 Scores)'!P72&gt;'Analysis Settings'!$F$21,('Raw Data (0-4 Scores)'!P72-'Analysis Settings'!$F$21)/('Analysis Settings'!$G$21-'Analysis Settings'!$F$21),('Raw Data (0-4 Scores)'!P72-'Analysis Settings'!$F$21)/('Analysis Settings'!$F$21-'Analysis Settings'!$E$21)))))</f>
        <v>0.95530702874889584</v>
      </c>
      <c r="J72" s="22">
        <f t="shared" si="2"/>
        <v>4.4692971251104163E-2</v>
      </c>
    </row>
    <row r="73" spans="1:10" ht="15" customHeight="1" x14ac:dyDescent="0.3">
      <c r="A73" s="20" t="str">
        <f>'Raw Data (0-4 Scores)'!A73</f>
        <v>Qualcomm Incorporated</v>
      </c>
      <c r="B73" s="20">
        <f>'Raw Data (0-4 Scores)'!E73</f>
        <v>2025</v>
      </c>
      <c r="C73" s="22">
        <f>IF('Raw Data (0-4 Scores)'!J73='Analysis Settings'!$F$15,'Analysis Settings'!$B$9,1/(1+EXP(-'Analysis Settings'!$B$8*IF('Raw Data (0-4 Scores)'!J73&gt;'Analysis Settings'!$F$15,('Raw Data (0-4 Scores)'!J73-'Analysis Settings'!$F$15)/('Analysis Settings'!$G$15-'Analysis Settings'!$F$15),('Raw Data (0-4 Scores)'!J73-'Analysis Settings'!$F$15)/('Analysis Settings'!$F$15-'Analysis Settings'!$E$15)))))</f>
        <v>0.96632226456164849</v>
      </c>
      <c r="D73" s="22">
        <f>IF('Raw Data (0-4 Scores)'!K73='Analysis Settings'!$F$16,'Analysis Settings'!$B$9,1/(1+EXP(-'Analysis Settings'!$B$8*IF('Raw Data (0-4 Scores)'!K73&gt;'Analysis Settings'!$F$16,('Raw Data (0-4 Scores)'!K73-'Analysis Settings'!$F$16)/('Analysis Settings'!$G$16-'Analysis Settings'!$F$16),('Raw Data (0-4 Scores)'!K73-'Analysis Settings'!$F$16)/('Analysis Settings'!$F$16-'Analysis Settings'!$E$16)))))</f>
        <v>0.99183285770953611</v>
      </c>
      <c r="E73" s="22">
        <f>IF('Raw Data (0-4 Scores)'!L73='Analysis Settings'!$F$17,'Analysis Settings'!$B$9,1/(1+EXP(-'Analysis Settings'!$B$8*IF('Raw Data (0-4 Scores)'!L73&gt;'Analysis Settings'!$F$17,('Raw Data (0-4 Scores)'!L73-'Analysis Settings'!$F$17)/('Analysis Settings'!$G$17-'Analysis Settings'!$F$17),('Raw Data (0-4 Scores)'!L73-'Analysis Settings'!$F$17)/('Analysis Settings'!$F$17-'Analysis Settings'!$E$17)))))</f>
        <v>0.98358115161828907</v>
      </c>
      <c r="F73" s="22">
        <f>IF('Raw Data (0-4 Scores)'!M73='Analysis Settings'!$F$18,'Analysis Settings'!$B$9,1/(1+EXP(-'Analysis Settings'!$B$8*IF('Raw Data (0-4 Scores)'!M73&gt;'Analysis Settings'!$F$18,('Raw Data (0-4 Scores)'!M73-'Analysis Settings'!$F$18)/('Analysis Settings'!$G$18-'Analysis Settings'!$F$18),('Raw Data (0-4 Scores)'!M73-'Analysis Settings'!$F$18)/('Analysis Settings'!$F$18-'Analysis Settings'!$E$18)))))</f>
        <v>0.40545727719757751</v>
      </c>
      <c r="G73" s="22">
        <f>IF('Raw Data (0-4 Scores)'!N73='Analysis Settings'!$F$19,'Analysis Settings'!$B$9,1/(1+EXP(-'Analysis Settings'!$B$8*IF('Raw Data (0-4 Scores)'!N73&gt;'Analysis Settings'!$F$19,('Raw Data (0-4 Scores)'!N73-'Analysis Settings'!$F$19)/('Analysis Settings'!$G$19-'Analysis Settings'!$F$19),('Raw Data (0-4 Scores)'!N73-'Analysis Settings'!$F$19)/('Analysis Settings'!$F$19-'Analysis Settings'!$E$19)))))</f>
        <v>0.98906716546703155</v>
      </c>
      <c r="H73" s="22">
        <f>IF('Raw Data (0-4 Scores)'!O73='Analysis Settings'!$F$20,'Analysis Settings'!$B$9,1/(1+EXP(-'Analysis Settings'!$B$8*IF('Raw Data (0-4 Scores)'!O73&gt;'Analysis Settings'!$F$20,('Raw Data (0-4 Scores)'!O73-'Analysis Settings'!$F$20)/('Analysis Settings'!$G$20-'Analysis Settings'!$F$20),('Raw Data (0-4 Scores)'!O73-'Analysis Settings'!$F$20)/('Analysis Settings'!$F$20-'Analysis Settings'!$E$20)))))</f>
        <v>0.70138195688407712</v>
      </c>
      <c r="I73" s="22">
        <f>IF('Raw Data (0-4 Scores)'!P73='Analysis Settings'!$F$21,'Analysis Settings'!$B$9,1/(1+EXP(-'Analysis Settings'!$B$8*IF('Raw Data (0-4 Scores)'!P73&gt;'Analysis Settings'!$F$21,('Raw Data (0-4 Scores)'!P73-'Analysis Settings'!$F$21)/('Analysis Settings'!$G$21-'Analysis Settings'!$F$21),('Raw Data (0-4 Scores)'!P73-'Analysis Settings'!$F$21)/('Analysis Settings'!$F$21-'Analysis Settings'!$E$21)))))</f>
        <v>0.9940790735558046</v>
      </c>
      <c r="J73" s="22">
        <f t="shared" si="2"/>
        <v>5.9209264441953957E-3</v>
      </c>
    </row>
    <row r="74" spans="1:10" ht="15" customHeight="1" x14ac:dyDescent="0.3">
      <c r="A74" s="20" t="str">
        <f>'Raw Data (0-4 Scores)'!A74</f>
        <v>Realtek Semiconductor</v>
      </c>
      <c r="B74" s="20">
        <f>'Raw Data (0-4 Scores)'!E74</f>
        <v>2023</v>
      </c>
      <c r="C74" s="22">
        <f>IF('Raw Data (0-4 Scores)'!J74='Analysis Settings'!$F$15,'Analysis Settings'!$B$9,1/(1+EXP(-'Analysis Settings'!$B$8*IF('Raw Data (0-4 Scores)'!J74&gt;'Analysis Settings'!$F$15,('Raw Data (0-4 Scores)'!J74-'Analysis Settings'!$F$15)/('Analysis Settings'!$G$15-'Analysis Settings'!$F$15),('Raw Data (0-4 Scores)'!J74-'Analysis Settings'!$F$15)/('Analysis Settings'!$F$15-'Analysis Settings'!$E$15)))))</f>
        <v>0.31744161997163201</v>
      </c>
      <c r="D74" s="22">
        <f>IF('Raw Data (0-4 Scores)'!K74='Analysis Settings'!$F$16,'Analysis Settings'!$B$9,1/(1+EXP(-'Analysis Settings'!$B$8*IF('Raw Data (0-4 Scores)'!K74&gt;'Analysis Settings'!$F$16,('Raw Data (0-4 Scores)'!K74-'Analysis Settings'!$F$16)/('Analysis Settings'!$G$16-'Analysis Settings'!$F$16),('Raw Data (0-4 Scores)'!K74-'Analysis Settings'!$F$16)/('Analysis Settings'!$F$16-'Analysis Settings'!$E$16)))))</f>
        <v>1.3401706499242933E-2</v>
      </c>
      <c r="E74" s="22">
        <f>IF('Raw Data (0-4 Scores)'!L74='Analysis Settings'!$F$17,'Analysis Settings'!$B$9,1/(1+EXP(-'Analysis Settings'!$B$8*IF('Raw Data (0-4 Scores)'!L74&gt;'Analysis Settings'!$F$17,('Raw Data (0-4 Scores)'!L74-'Analysis Settings'!$F$17)/('Analysis Settings'!$G$17-'Analysis Settings'!$F$17),('Raw Data (0-4 Scores)'!L74-'Analysis Settings'!$F$17)/('Analysis Settings'!$F$17-'Analysis Settings'!$E$17)))))</f>
        <v>0.5073605656718494</v>
      </c>
      <c r="F74" s="22">
        <f>IF('Raw Data (0-4 Scores)'!M74='Analysis Settings'!$F$18,'Analysis Settings'!$B$9,1/(1+EXP(-'Analysis Settings'!$B$8*IF('Raw Data (0-4 Scores)'!M74&gt;'Analysis Settings'!$F$18,('Raw Data (0-4 Scores)'!M74-'Analysis Settings'!$F$18)/('Analysis Settings'!$G$18-'Analysis Settings'!$F$18),('Raw Data (0-4 Scores)'!M74-'Analysis Settings'!$F$18)/('Analysis Settings'!$F$18-'Analysis Settings'!$E$18)))))</f>
        <v>0.35016086473629304</v>
      </c>
      <c r="G74" s="22">
        <f>IF('Raw Data (0-4 Scores)'!N74='Analysis Settings'!$F$19,'Analysis Settings'!$B$9,1/(1+EXP(-'Analysis Settings'!$B$8*IF('Raw Data (0-4 Scores)'!N74&gt;'Analysis Settings'!$F$19,('Raw Data (0-4 Scores)'!N74-'Analysis Settings'!$F$19)/('Analysis Settings'!$G$19-'Analysis Settings'!$F$19),('Raw Data (0-4 Scores)'!N74-'Analysis Settings'!$F$19)/('Analysis Settings'!$F$19-'Analysis Settings'!$E$19)))))</f>
        <v>0.41257448944264608</v>
      </c>
      <c r="H74" s="22">
        <f>IF('Raw Data (0-4 Scores)'!O74='Analysis Settings'!$F$20,'Analysis Settings'!$B$9,1/(1+EXP(-'Analysis Settings'!$B$8*IF('Raw Data (0-4 Scores)'!O74&gt;'Analysis Settings'!$F$20,('Raw Data (0-4 Scores)'!O74-'Analysis Settings'!$F$20)/('Analysis Settings'!$G$20-'Analysis Settings'!$F$20),('Raw Data (0-4 Scores)'!O74-'Analysis Settings'!$F$20)/('Analysis Settings'!$F$20-'Analysis Settings'!$E$20)))))</f>
        <v>4.5967103748543979E-2</v>
      </c>
      <c r="I74" s="22">
        <f>IF('Raw Data (0-4 Scores)'!P74='Analysis Settings'!$F$21,'Analysis Settings'!$B$9,1/(1+EXP(-'Analysis Settings'!$B$8*IF('Raw Data (0-4 Scores)'!P74&gt;'Analysis Settings'!$F$21,('Raw Data (0-4 Scores)'!P74-'Analysis Settings'!$F$21)/('Analysis Settings'!$G$21-'Analysis Settings'!$F$21),('Raw Data (0-4 Scores)'!P74-'Analysis Settings'!$F$21)/('Analysis Settings'!$F$21-'Analysis Settings'!$E$21)))))</f>
        <v>0.4852820582066058</v>
      </c>
      <c r="J74" s="22">
        <f t="shared" si="2"/>
        <v>0.4852820582066058</v>
      </c>
    </row>
    <row r="75" spans="1:10" ht="15" customHeight="1" x14ac:dyDescent="0.3">
      <c r="A75" s="20" t="str">
        <f>'Raw Data (0-4 Scores)'!A75</f>
        <v>Realtek Semiconductor</v>
      </c>
      <c r="B75" s="20">
        <f>'Raw Data (0-4 Scores)'!E75</f>
        <v>2024</v>
      </c>
      <c r="C75" s="22">
        <f>IF('Raw Data (0-4 Scores)'!J75='Analysis Settings'!$F$15,'Analysis Settings'!$B$9,1/(1+EXP(-'Analysis Settings'!$B$8*IF('Raw Data (0-4 Scores)'!J75&gt;'Analysis Settings'!$F$15,('Raw Data (0-4 Scores)'!J75-'Analysis Settings'!$F$15)/('Analysis Settings'!$G$15-'Analysis Settings'!$F$15),('Raw Data (0-4 Scores)'!J75-'Analysis Settings'!$F$15)/('Analysis Settings'!$F$15-'Analysis Settings'!$E$15)))))</f>
        <v>0.67614457945460615</v>
      </c>
      <c r="D75" s="22">
        <f>IF('Raw Data (0-4 Scores)'!K75='Analysis Settings'!$F$16,'Analysis Settings'!$B$9,1/(1+EXP(-'Analysis Settings'!$B$8*IF('Raw Data (0-4 Scores)'!K75&gt;'Analysis Settings'!$F$16,('Raw Data (0-4 Scores)'!K75-'Analysis Settings'!$F$16)/('Analysis Settings'!$G$16-'Analysis Settings'!$F$16),('Raw Data (0-4 Scores)'!K75-'Analysis Settings'!$F$16)/('Analysis Settings'!$F$16-'Analysis Settings'!$E$16)))))</f>
        <v>5.9090730917347546E-2</v>
      </c>
      <c r="E75" s="22">
        <f>IF('Raw Data (0-4 Scores)'!L75='Analysis Settings'!$F$17,'Analysis Settings'!$B$9,1/(1+EXP(-'Analysis Settings'!$B$8*IF('Raw Data (0-4 Scores)'!L75&gt;'Analysis Settings'!$F$17,('Raw Data (0-4 Scores)'!L75-'Analysis Settings'!$F$17)/('Analysis Settings'!$G$17-'Analysis Settings'!$F$17),('Raw Data (0-4 Scores)'!L75-'Analysis Settings'!$F$17)/('Analysis Settings'!$F$17-'Analysis Settings'!$E$17)))))</f>
        <v>0.61564650083511141</v>
      </c>
      <c r="F75" s="22">
        <f>IF('Raw Data (0-4 Scores)'!M75='Analysis Settings'!$F$18,'Analysis Settings'!$B$9,1/(1+EXP(-'Analysis Settings'!$B$8*IF('Raw Data (0-4 Scores)'!M75&gt;'Analysis Settings'!$F$18,('Raw Data (0-4 Scores)'!M75-'Analysis Settings'!$F$18)/('Analysis Settings'!$G$18-'Analysis Settings'!$F$18),('Raw Data (0-4 Scores)'!M75-'Analysis Settings'!$F$18)/('Analysis Settings'!$F$18-'Analysis Settings'!$E$18)))))</f>
        <v>0.49263943432815055</v>
      </c>
      <c r="G75" s="22">
        <f>IF('Raw Data (0-4 Scores)'!N75='Analysis Settings'!$F$19,'Analysis Settings'!$B$9,1/(1+EXP(-'Analysis Settings'!$B$8*IF('Raw Data (0-4 Scores)'!N75&gt;'Analysis Settings'!$F$19,('Raw Data (0-4 Scores)'!N75-'Analysis Settings'!$F$19)/('Analysis Settings'!$G$19-'Analysis Settings'!$F$19),('Raw Data (0-4 Scores)'!N75-'Analysis Settings'!$F$19)/('Analysis Settings'!$F$19-'Analysis Settings'!$E$19)))))</f>
        <v>0.54405206850190257</v>
      </c>
      <c r="H75" s="22">
        <f>IF('Raw Data (0-4 Scores)'!O75='Analysis Settings'!$F$20,'Analysis Settings'!$B$9,1/(1+EXP(-'Analysis Settings'!$B$8*IF('Raw Data (0-4 Scores)'!O75&gt;'Analysis Settings'!$F$20,('Raw Data (0-4 Scores)'!O75-'Analysis Settings'!$F$20)/('Analysis Settings'!$G$20-'Analysis Settings'!$F$20),('Raw Data (0-4 Scores)'!O75-'Analysis Settings'!$F$20)/('Analysis Settings'!$F$20-'Analysis Settings'!$E$20)))))</f>
        <v>5.9090730917347546E-2</v>
      </c>
      <c r="I75" s="22">
        <f>IF('Raw Data (0-4 Scores)'!P75='Analysis Settings'!$F$21,'Analysis Settings'!$B$9,1/(1+EXP(-'Analysis Settings'!$B$8*IF('Raw Data (0-4 Scores)'!P75&gt;'Analysis Settings'!$F$21,('Raw Data (0-4 Scores)'!P75-'Analysis Settings'!$F$21)/('Analysis Settings'!$G$21-'Analysis Settings'!$F$21),('Raw Data (0-4 Scores)'!P75-'Analysis Settings'!$F$21)/('Analysis Settings'!$F$21-'Analysis Settings'!$E$21)))))</f>
        <v>0.36367625459897801</v>
      </c>
      <c r="J75" s="22">
        <f t="shared" si="2"/>
        <v>0.36367625459897801</v>
      </c>
    </row>
    <row r="76" spans="1:10" ht="15" customHeight="1" x14ac:dyDescent="0.3">
      <c r="A76" s="20" t="str">
        <f>'Raw Data (0-4 Scores)'!A76</f>
        <v>Realtek Semiconductor</v>
      </c>
      <c r="B76" s="20">
        <f>'Raw Data (0-4 Scores)'!E76</f>
        <v>2025</v>
      </c>
      <c r="C76" s="22">
        <f>IF('Raw Data (0-4 Scores)'!J76='Analysis Settings'!$F$15,'Analysis Settings'!$B$9,1/(1+EXP(-'Analysis Settings'!$B$8*IF('Raw Data (0-4 Scores)'!J76&gt;'Analysis Settings'!$F$15,('Raw Data (0-4 Scores)'!J76-'Analysis Settings'!$F$15)/('Analysis Settings'!$G$15-'Analysis Settings'!$F$15),('Raw Data (0-4 Scores)'!J76-'Analysis Settings'!$F$15)/('Analysis Settings'!$F$15-'Analysis Settings'!$E$15)))))</f>
        <v>0.6889036017278245</v>
      </c>
      <c r="D76" s="22">
        <f>IF('Raw Data (0-4 Scores)'!K76='Analysis Settings'!$F$16,'Analysis Settings'!$B$9,1/(1+EXP(-'Analysis Settings'!$B$8*IF('Raw Data (0-4 Scores)'!K76&gt;'Analysis Settings'!$F$16,('Raw Data (0-4 Scores)'!K76-'Analysis Settings'!$F$16)/('Analysis Settings'!$G$16-'Analysis Settings'!$F$16),('Raw Data (0-4 Scores)'!K76-'Analysis Settings'!$F$16)/('Analysis Settings'!$F$16-'Analysis Settings'!$E$16)))))</f>
        <v>0.13876898970461821</v>
      </c>
      <c r="E76" s="22">
        <f>IF('Raw Data (0-4 Scores)'!L76='Analysis Settings'!$F$17,'Analysis Settings'!$B$9,1/(1+EXP(-'Analysis Settings'!$B$8*IF('Raw Data (0-4 Scores)'!L76&gt;'Analysis Settings'!$F$17,('Raw Data (0-4 Scores)'!L76-'Analysis Settings'!$F$17)/('Analysis Settings'!$G$17-'Analysis Settings'!$F$17),('Raw Data (0-4 Scores)'!L76-'Analysis Settings'!$F$17)/('Analysis Settings'!$F$17-'Analysis Settings'!$E$17)))))</f>
        <v>0.62948288252328699</v>
      </c>
      <c r="F76" s="22">
        <f>IF('Raw Data (0-4 Scores)'!M76='Analysis Settings'!$F$18,'Analysis Settings'!$B$9,1/(1+EXP(-'Analysis Settings'!$B$8*IF('Raw Data (0-4 Scores)'!M76&gt;'Analysis Settings'!$F$18,('Raw Data (0-4 Scores)'!M76-'Analysis Settings'!$F$18)/('Analysis Settings'!$G$18-'Analysis Settings'!$F$18),('Raw Data (0-4 Scores)'!M76-'Analysis Settings'!$F$18)/('Analysis Settings'!$F$18-'Analysis Settings'!$E$18)))))</f>
        <v>0.6889036017278245</v>
      </c>
      <c r="G76" s="22">
        <f>IF('Raw Data (0-4 Scores)'!N76='Analysis Settings'!$F$19,'Analysis Settings'!$B$9,1/(1+EXP(-'Analysis Settings'!$B$8*IF('Raw Data (0-4 Scores)'!N76&gt;'Analysis Settings'!$F$19,('Raw Data (0-4 Scores)'!N76-'Analysis Settings'!$F$19)/('Analysis Settings'!$G$19-'Analysis Settings'!$F$19),('Raw Data (0-4 Scores)'!N76-'Analysis Settings'!$F$19)/('Analysis Settings'!$F$19-'Analysis Settings'!$E$19)))))</f>
        <v>0.74269016931068432</v>
      </c>
      <c r="H76" s="22">
        <f>IF('Raw Data (0-4 Scores)'!O76='Analysis Settings'!$F$20,'Analysis Settings'!$B$9,1/(1+EXP(-'Analysis Settings'!$B$8*IF('Raw Data (0-4 Scores)'!O76&gt;'Analysis Settings'!$F$20,('Raw Data (0-4 Scores)'!O76-'Analysis Settings'!$F$20)/('Analysis Settings'!$G$20-'Analysis Settings'!$F$20),('Raw Data (0-4 Scores)'!O76-'Analysis Settings'!$F$20)/('Analysis Settings'!$F$20-'Analysis Settings'!$E$20)))))</f>
        <v>8.6625545088092101E-2</v>
      </c>
      <c r="I76" s="22">
        <f>IF('Raw Data (0-4 Scores)'!P76='Analysis Settings'!$F$21,'Analysis Settings'!$B$9,1/(1+EXP(-'Analysis Settings'!$B$8*IF('Raw Data (0-4 Scores)'!P76&gt;'Analysis Settings'!$F$21,('Raw Data (0-4 Scores)'!P76-'Analysis Settings'!$F$21)/('Analysis Settings'!$G$21-'Analysis Settings'!$F$21),('Raw Data (0-4 Scores)'!P76-'Analysis Settings'!$F$21)/('Analysis Settings'!$F$21-'Analysis Settings'!$E$21)))))</f>
        <v>0.5586179890472327</v>
      </c>
      <c r="J76" s="22">
        <f t="shared" si="2"/>
        <v>0.4413820109527673</v>
      </c>
    </row>
    <row r="77" spans="1:10" ht="15" customHeight="1" x14ac:dyDescent="0.3">
      <c r="A77" s="20" t="str">
        <f>'Raw Data (0-4 Scores)'!A77</f>
        <v>SK Hynix</v>
      </c>
      <c r="B77" s="20">
        <f>'Raw Data (0-4 Scores)'!E77</f>
        <v>2023</v>
      </c>
      <c r="C77" s="22">
        <f>IF('Raw Data (0-4 Scores)'!J77='Analysis Settings'!$F$15,'Analysis Settings'!$B$9,1/(1+EXP(-'Analysis Settings'!$B$8*IF('Raw Data (0-4 Scores)'!J77&gt;'Analysis Settings'!$F$15,('Raw Data (0-4 Scores)'!J77-'Analysis Settings'!$F$15)/('Analysis Settings'!$G$15-'Analysis Settings'!$F$15),('Raw Data (0-4 Scores)'!J77-'Analysis Settings'!$F$15)/('Analysis Settings'!$F$15-'Analysis Settings'!$E$15)))))</f>
        <v>0.99558256004915957</v>
      </c>
      <c r="D77" s="22">
        <f>IF('Raw Data (0-4 Scores)'!K77='Analysis Settings'!$F$16,'Analysis Settings'!$B$9,1/(1+EXP(-'Analysis Settings'!$B$8*IF('Raw Data (0-4 Scores)'!K77&gt;'Analysis Settings'!$F$16,('Raw Data (0-4 Scores)'!K77-'Analysis Settings'!$F$16)/('Analysis Settings'!$G$16-'Analysis Settings'!$F$16),('Raw Data (0-4 Scores)'!K77-'Analysis Settings'!$F$16)/('Analysis Settings'!$F$16-'Analysis Settings'!$E$16)))))</f>
        <v>0.2199240956723113</v>
      </c>
      <c r="E77" s="22">
        <f>IF('Raw Data (0-4 Scores)'!L77='Analysis Settings'!$F$17,'Analysis Settings'!$B$9,1/(1+EXP(-'Analysis Settings'!$B$8*IF('Raw Data (0-4 Scores)'!L77&gt;'Analysis Settings'!$F$17,('Raw Data (0-4 Scores)'!L77-'Analysis Settings'!$F$17)/('Analysis Settings'!$G$17-'Analysis Settings'!$F$17),('Raw Data (0-4 Scores)'!L77-'Analysis Settings'!$F$17)/('Analysis Settings'!$F$17-'Analysis Settings'!$E$17)))))</f>
        <v>0.93580245735969414</v>
      </c>
      <c r="F77" s="22">
        <f>IF('Raw Data (0-4 Scores)'!M77='Analysis Settings'!$F$18,'Analysis Settings'!$B$9,1/(1+EXP(-'Analysis Settings'!$B$8*IF('Raw Data (0-4 Scores)'!M77&gt;'Analysis Settings'!$F$18,('Raw Data (0-4 Scores)'!M77-'Analysis Settings'!$F$18)/('Analysis Settings'!$G$18-'Analysis Settings'!$F$18),('Raw Data (0-4 Scores)'!M77-'Analysis Settings'!$F$18)/('Analysis Settings'!$F$18-'Analysis Settings'!$E$18)))))</f>
        <v>0.86812039050746515</v>
      </c>
      <c r="G77" s="22">
        <f>IF('Raw Data (0-4 Scores)'!N77='Analysis Settings'!$F$19,'Analysis Settings'!$B$9,1/(1+EXP(-'Analysis Settings'!$B$8*IF('Raw Data (0-4 Scores)'!N77&gt;'Analysis Settings'!$F$19,('Raw Data (0-4 Scores)'!N77-'Analysis Settings'!$F$19)/('Analysis Settings'!$G$19-'Analysis Settings'!$F$19),('Raw Data (0-4 Scores)'!N77-'Analysis Settings'!$F$19)/('Analysis Settings'!$F$19-'Analysis Settings'!$E$19)))))</f>
        <v>0.92011307352532246</v>
      </c>
      <c r="H77" s="22">
        <f>IF('Raw Data (0-4 Scores)'!O77='Analysis Settings'!$F$20,'Analysis Settings'!$B$9,1/(1+EXP(-'Analysis Settings'!$B$8*IF('Raw Data (0-4 Scores)'!O77&gt;'Analysis Settings'!$F$20,('Raw Data (0-4 Scores)'!O77-'Analysis Settings'!$F$20)/('Analysis Settings'!$G$20-'Analysis Settings'!$F$20),('Raw Data (0-4 Scores)'!O77-'Analysis Settings'!$F$20)/('Analysis Settings'!$F$20-'Analysis Settings'!$E$20)))))</f>
        <v>0.39837957722426065</v>
      </c>
      <c r="I77" s="22">
        <f>IF('Raw Data (0-4 Scores)'!P77='Analysis Settings'!$F$21,'Analysis Settings'!$B$9,1/(1+EXP(-'Analysis Settings'!$B$8*IF('Raw Data (0-4 Scores)'!P77&gt;'Analysis Settings'!$F$21,('Raw Data (0-4 Scores)'!P77-'Analysis Settings'!$F$21)/('Analysis Settings'!$G$21-'Analysis Settings'!$F$21),('Raw Data (0-4 Scores)'!P77-'Analysis Settings'!$F$21)/('Analysis Settings'!$F$21-'Analysis Settings'!$E$21)))))</f>
        <v>0.8540422397951084</v>
      </c>
      <c r="J77" s="22">
        <f t="shared" si="2"/>
        <v>0.1459577602048916</v>
      </c>
    </row>
    <row r="78" spans="1:10" ht="15" customHeight="1" x14ac:dyDescent="0.3">
      <c r="A78" s="20" t="str">
        <f>'Raw Data (0-4 Scores)'!A78</f>
        <v>SK Hynix</v>
      </c>
      <c r="B78" s="20">
        <f>'Raw Data (0-4 Scores)'!E78</f>
        <v>2024</v>
      </c>
      <c r="C78" s="22">
        <f>IF('Raw Data (0-4 Scores)'!J78='Analysis Settings'!$F$15,'Analysis Settings'!$B$9,1/(1+EXP(-'Analysis Settings'!$B$8*IF('Raw Data (0-4 Scores)'!J78&gt;'Analysis Settings'!$F$15,('Raw Data (0-4 Scores)'!J78-'Analysis Settings'!$F$15)/('Analysis Settings'!$G$15-'Analysis Settings'!$F$15),('Raw Data (0-4 Scores)'!J78-'Analysis Settings'!$F$15)/('Analysis Settings'!$F$15-'Analysis Settings'!$E$15)))))</f>
        <v>0.99715525647836667</v>
      </c>
      <c r="D78" s="22">
        <f>IF('Raw Data (0-4 Scores)'!K78='Analysis Settings'!$F$16,'Analysis Settings'!$B$9,1/(1+EXP(-'Analysis Settings'!$B$8*IF('Raw Data (0-4 Scores)'!K78&gt;'Analysis Settings'!$F$16,('Raw Data (0-4 Scores)'!K78-'Analysis Settings'!$F$16)/('Analysis Settings'!$G$16-'Analysis Settings'!$F$16),('Raw Data (0-4 Scores)'!K78-'Analysis Settings'!$F$16)/('Analysis Settings'!$F$16-'Analysis Settings'!$E$16)))))</f>
        <v>0.5730837229612793</v>
      </c>
      <c r="E78" s="22">
        <f>IF('Raw Data (0-4 Scores)'!L78='Analysis Settings'!$F$17,'Analysis Settings'!$B$9,1/(1+EXP(-'Analysis Settings'!$B$8*IF('Raw Data (0-4 Scores)'!L78&gt;'Analysis Settings'!$F$17,('Raw Data (0-4 Scores)'!L78-'Analysis Settings'!$F$17)/('Analysis Settings'!$G$17-'Analysis Settings'!$F$17),('Raw Data (0-4 Scores)'!L78-'Analysis Settings'!$F$17)/('Analysis Settings'!$F$17-'Analysis Settings'!$E$17)))))</f>
        <v>0.95775497238114526</v>
      </c>
      <c r="F78" s="22">
        <f>IF('Raw Data (0-4 Scores)'!M78='Analysis Settings'!$F$18,'Analysis Settings'!$B$9,1/(1+EXP(-'Analysis Settings'!$B$8*IF('Raw Data (0-4 Scores)'!M78&gt;'Analysis Settings'!$F$18,('Raw Data (0-4 Scores)'!M78-'Analysis Settings'!$F$18)/('Analysis Settings'!$G$18-'Analysis Settings'!$F$18),('Raw Data (0-4 Scores)'!M78-'Analysis Settings'!$F$18)/('Analysis Settings'!$F$18-'Analysis Settings'!$E$18)))))</f>
        <v>0.9340106873436208</v>
      </c>
      <c r="G78" s="22">
        <f>IF('Raw Data (0-4 Scores)'!N78='Analysis Settings'!$F$19,'Analysis Settings'!$B$9,1/(1+EXP(-'Analysis Settings'!$B$8*IF('Raw Data (0-4 Scores)'!N78&gt;'Analysis Settings'!$F$19,('Raw Data (0-4 Scores)'!N78-'Analysis Settings'!$F$19)/('Analysis Settings'!$G$19-'Analysis Settings'!$F$19),('Raw Data (0-4 Scores)'!N78-'Analysis Settings'!$F$19)/('Analysis Settings'!$F$19-'Analysis Settings'!$E$19)))))</f>
        <v>0.93925077876486562</v>
      </c>
      <c r="H78" s="22">
        <f>IF('Raw Data (0-4 Scores)'!O78='Analysis Settings'!$F$20,'Analysis Settings'!$B$9,1/(1+EXP(-'Analysis Settings'!$B$8*IF('Raw Data (0-4 Scores)'!O78&gt;'Analysis Settings'!$F$20,('Raw Data (0-4 Scores)'!O78-'Analysis Settings'!$F$20)/('Analysis Settings'!$G$20-'Analysis Settings'!$F$20),('Raw Data (0-4 Scores)'!O78-'Analysis Settings'!$F$20)/('Analysis Settings'!$F$20-'Analysis Settings'!$E$20)))))</f>
        <v>0.66966390691858946</v>
      </c>
      <c r="I78" s="22">
        <f>IF('Raw Data (0-4 Scores)'!P78='Analysis Settings'!$F$21,'Analysis Settings'!$B$9,1/(1+EXP(-'Analysis Settings'!$B$8*IF('Raw Data (0-4 Scores)'!P78&gt;'Analysis Settings'!$F$21,('Raw Data (0-4 Scores)'!P78-'Analysis Settings'!$F$21)/('Analysis Settings'!$G$21-'Analysis Settings'!$F$21),('Raw Data (0-4 Scores)'!P78-'Analysis Settings'!$F$21)/('Analysis Settings'!$F$21-'Analysis Settings'!$E$21)))))</f>
        <v>0.9340106873436208</v>
      </c>
      <c r="J78" s="22">
        <f t="shared" si="2"/>
        <v>6.5989312656379195E-2</v>
      </c>
    </row>
    <row r="79" spans="1:10" ht="15" customHeight="1" x14ac:dyDescent="0.3">
      <c r="A79" s="20" t="str">
        <f>'Raw Data (0-4 Scores)'!A79</f>
        <v>SK Hynix</v>
      </c>
      <c r="B79" s="20">
        <f>'Raw Data (0-4 Scores)'!E79</f>
        <v>2025</v>
      </c>
      <c r="C79" s="22">
        <f>IF('Raw Data (0-4 Scores)'!J79='Analysis Settings'!$F$15,'Analysis Settings'!$B$9,1/(1+EXP(-'Analysis Settings'!$B$8*IF('Raw Data (0-4 Scores)'!J79&gt;'Analysis Settings'!$F$15,('Raw Data (0-4 Scores)'!J79-'Analysis Settings'!$F$15)/('Analysis Settings'!$G$15-'Analysis Settings'!$F$15),('Raw Data (0-4 Scores)'!J79-'Analysis Settings'!$F$15)/('Analysis Settings'!$F$15-'Analysis Settings'!$E$15)))))</f>
        <v>0.99723756906077354</v>
      </c>
      <c r="D79" s="22">
        <f>IF('Raw Data (0-4 Scores)'!K79='Analysis Settings'!$F$16,'Analysis Settings'!$B$9,1/(1+EXP(-'Analysis Settings'!$B$8*IF('Raw Data (0-4 Scores)'!K79&gt;'Analysis Settings'!$F$16,('Raw Data (0-4 Scores)'!K79-'Analysis Settings'!$F$16)/('Analysis Settings'!$G$16-'Analysis Settings'!$F$16),('Raw Data (0-4 Scores)'!K79-'Analysis Settings'!$F$16)/('Analysis Settings'!$F$16-'Analysis Settings'!$E$16)))))</f>
        <v>0.74827671154861142</v>
      </c>
      <c r="E79" s="22">
        <f>IF('Raw Data (0-4 Scores)'!L79='Analysis Settings'!$F$17,'Analysis Settings'!$B$9,1/(1+EXP(-'Analysis Settings'!$B$8*IF('Raw Data (0-4 Scores)'!L79&gt;'Analysis Settings'!$F$17,('Raw Data (0-4 Scores)'!L79-'Analysis Settings'!$F$17)/('Analysis Settings'!$G$17-'Analysis Settings'!$F$17),('Raw Data (0-4 Scores)'!L79-'Analysis Settings'!$F$17)/('Analysis Settings'!$F$17-'Analysis Settings'!$E$17)))))</f>
        <v>0.97931035077993256</v>
      </c>
      <c r="F79" s="22">
        <f>IF('Raw Data (0-4 Scores)'!M79='Analysis Settings'!$F$18,'Analysis Settings'!$B$9,1/(1+EXP(-'Analysis Settings'!$B$8*IF('Raw Data (0-4 Scores)'!M79&gt;'Analysis Settings'!$F$18,('Raw Data (0-4 Scores)'!M79-'Analysis Settings'!$F$18)/('Analysis Settings'!$G$18-'Analysis Settings'!$F$18),('Raw Data (0-4 Scores)'!M79-'Analysis Settings'!$F$18)/('Analysis Settings'!$F$18-'Analysis Settings'!$E$18)))))</f>
        <v>0.9853787154963799</v>
      </c>
      <c r="G79" s="22">
        <f>IF('Raw Data (0-4 Scores)'!N79='Analysis Settings'!$F$19,'Analysis Settings'!$B$9,1/(1+EXP(-'Analysis Settings'!$B$8*IF('Raw Data (0-4 Scores)'!N79&gt;'Analysis Settings'!$F$19,('Raw Data (0-4 Scores)'!N79-'Analysis Settings'!$F$19)/('Analysis Settings'!$G$19-'Analysis Settings'!$F$19),('Raw Data (0-4 Scores)'!N79-'Analysis Settings'!$F$19)/('Analysis Settings'!$F$19-'Analysis Settings'!$E$19)))))</f>
        <v>0.97079803321377589</v>
      </c>
      <c r="H79" s="22">
        <f>IF('Raw Data (0-4 Scores)'!O79='Analysis Settings'!$F$20,'Analysis Settings'!$B$9,1/(1+EXP(-'Analysis Settings'!$B$8*IF('Raw Data (0-4 Scores)'!O79&gt;'Analysis Settings'!$F$20,('Raw Data (0-4 Scores)'!O79-'Analysis Settings'!$F$20)/('Analysis Settings'!$G$20-'Analysis Settings'!$F$20),('Raw Data (0-4 Scores)'!O79-'Analysis Settings'!$F$20)/('Analysis Settings'!$F$20-'Analysis Settings'!$E$20)))))</f>
        <v>0.501</v>
      </c>
      <c r="I79" s="22">
        <f>IF('Raw Data (0-4 Scores)'!P79='Analysis Settings'!$F$21,'Analysis Settings'!$B$9,1/(1+EXP(-'Analysis Settings'!$B$8*IF('Raw Data (0-4 Scores)'!P79&gt;'Analysis Settings'!$F$21,('Raw Data (0-4 Scores)'!P79-'Analysis Settings'!$F$21)/('Analysis Settings'!$G$21-'Analysis Settings'!$F$21),('Raw Data (0-4 Scores)'!P79-'Analysis Settings'!$F$21)/('Analysis Settings'!$F$21-'Analysis Settings'!$E$21)))))</f>
        <v>0.94563344303041863</v>
      </c>
      <c r="J79" s="22">
        <f t="shared" si="2"/>
        <v>5.436655696958137E-2</v>
      </c>
    </row>
    <row r="80" spans="1:10" ht="15" customHeight="1" x14ac:dyDescent="0.3">
      <c r="A80" s="20" t="str">
        <f>'Raw Data (0-4 Scores)'!A80</f>
        <v>Samsung Electronics</v>
      </c>
      <c r="B80" s="20">
        <f>'Raw Data (0-4 Scores)'!E80</f>
        <v>2023</v>
      </c>
      <c r="C80" s="22">
        <f>IF('Raw Data (0-4 Scores)'!J80='Analysis Settings'!$F$15,'Analysis Settings'!$B$9,1/(1+EXP(-'Analysis Settings'!$B$8*IF('Raw Data (0-4 Scores)'!J80&gt;'Analysis Settings'!$F$15,('Raw Data (0-4 Scores)'!J80-'Analysis Settings'!$F$15)/('Analysis Settings'!$G$15-'Analysis Settings'!$F$15),('Raw Data (0-4 Scores)'!J80-'Analysis Settings'!$F$15)/('Analysis Settings'!$F$15-'Analysis Settings'!$E$15)))))</f>
        <v>0.99134175044225359</v>
      </c>
      <c r="D80" s="22">
        <f>IF('Raw Data (0-4 Scores)'!K80='Analysis Settings'!$F$16,'Analysis Settings'!$B$9,1/(1+EXP(-'Analysis Settings'!$B$8*IF('Raw Data (0-4 Scores)'!K80&gt;'Analysis Settings'!$F$16,('Raw Data (0-4 Scores)'!K80-'Analysis Settings'!$F$16)/('Analysis Settings'!$G$16-'Analysis Settings'!$F$16),('Raw Data (0-4 Scores)'!K80-'Analysis Settings'!$F$16)/('Analysis Settings'!$F$16-'Analysis Settings'!$E$16)))))</f>
        <v>0.93580245735969414</v>
      </c>
      <c r="E80" s="22">
        <f>IF('Raw Data (0-4 Scores)'!L80='Analysis Settings'!$F$17,'Analysis Settings'!$B$9,1/(1+EXP(-'Analysis Settings'!$B$8*IF('Raw Data (0-4 Scores)'!L80&gt;'Analysis Settings'!$F$17,('Raw Data (0-4 Scores)'!L80-'Analysis Settings'!$F$17)/('Analysis Settings'!$G$17-'Analysis Settings'!$F$17),('Raw Data (0-4 Scores)'!L80-'Analysis Settings'!$F$17)/('Analysis Settings'!$F$17-'Analysis Settings'!$E$17)))))</f>
        <v>0.79001196543342744</v>
      </c>
      <c r="F80" s="22">
        <f>IF('Raw Data (0-4 Scores)'!M80='Analysis Settings'!$F$18,'Analysis Settings'!$B$9,1/(1+EXP(-'Analysis Settings'!$B$8*IF('Raw Data (0-4 Scores)'!M80&gt;'Analysis Settings'!$F$18,('Raw Data (0-4 Scores)'!M80-'Analysis Settings'!$F$18)/('Analysis Settings'!$G$18-'Analysis Settings'!$F$18),('Raw Data (0-4 Scores)'!M80-'Analysis Settings'!$F$18)/('Analysis Settings'!$F$18-'Analysis Settings'!$E$18)))))</f>
        <v>0.98156672650334342</v>
      </c>
      <c r="G80" s="22">
        <f>IF('Raw Data (0-4 Scores)'!N80='Analysis Settings'!$F$19,'Analysis Settings'!$B$9,1/(1+EXP(-'Analysis Settings'!$B$8*IF('Raw Data (0-4 Scores)'!N80&gt;'Analysis Settings'!$F$19,('Raw Data (0-4 Scores)'!N80-'Analysis Settings'!$F$19)/('Analysis Settings'!$G$19-'Analysis Settings'!$F$19),('Raw Data (0-4 Scores)'!N80-'Analysis Settings'!$F$19)/('Analysis Settings'!$F$19-'Analysis Settings'!$E$19)))))</f>
        <v>0.87145501630212008</v>
      </c>
      <c r="H80" s="22">
        <f>IF('Raw Data (0-4 Scores)'!O80='Analysis Settings'!$F$20,'Analysis Settings'!$B$9,1/(1+EXP(-'Analysis Settings'!$B$8*IF('Raw Data (0-4 Scores)'!O80&gt;'Analysis Settings'!$F$20,('Raw Data (0-4 Scores)'!O80-'Analysis Settings'!$F$20)/('Analysis Settings'!$G$20-'Analysis Settings'!$F$20),('Raw Data (0-4 Scores)'!O80-'Analysis Settings'!$F$20)/('Analysis Settings'!$F$20-'Analysis Settings'!$E$20)))))</f>
        <v>0.99715525647836667</v>
      </c>
      <c r="I80" s="22">
        <f>IF('Raw Data (0-4 Scores)'!P80='Analysis Settings'!$F$21,'Analysis Settings'!$B$9,1/(1+EXP(-'Analysis Settings'!$B$8*IF('Raw Data (0-4 Scores)'!P80&gt;'Analysis Settings'!$F$21,('Raw Data (0-4 Scores)'!P80-'Analysis Settings'!$F$21)/('Analysis Settings'!$G$21-'Analysis Settings'!$F$21),('Raw Data (0-4 Scores)'!P80-'Analysis Settings'!$F$21)/('Analysis Settings'!$F$21-'Analysis Settings'!$E$21)))))</f>
        <v>0.98735502395561348</v>
      </c>
      <c r="J80" s="22">
        <f t="shared" si="2"/>
        <v>1.2644976044386524E-2</v>
      </c>
    </row>
    <row r="81" spans="1:10" ht="15" customHeight="1" x14ac:dyDescent="0.3">
      <c r="A81" s="20" t="str">
        <f>'Raw Data (0-4 Scores)'!A81</f>
        <v>Samsung Electronics</v>
      </c>
      <c r="B81" s="20">
        <f>'Raw Data (0-4 Scores)'!E81</f>
        <v>2024</v>
      </c>
      <c r="C81" s="22">
        <f>IF('Raw Data (0-4 Scores)'!J81='Analysis Settings'!$F$15,'Analysis Settings'!$B$9,1/(1+EXP(-'Analysis Settings'!$B$8*IF('Raw Data (0-4 Scores)'!J81&gt;'Analysis Settings'!$F$15,('Raw Data (0-4 Scores)'!J81-'Analysis Settings'!$F$15)/('Analysis Settings'!$G$15-'Analysis Settings'!$F$15),('Raw Data (0-4 Scores)'!J81-'Analysis Settings'!$F$15)/('Analysis Settings'!$F$15-'Analysis Settings'!$E$15)))))</f>
        <v>0.99517656840072644</v>
      </c>
      <c r="D81" s="22">
        <f>IF('Raw Data (0-4 Scores)'!K81='Analysis Settings'!$F$16,'Analysis Settings'!$B$9,1/(1+EXP(-'Analysis Settings'!$B$8*IF('Raw Data (0-4 Scores)'!K81&gt;'Analysis Settings'!$F$16,('Raw Data (0-4 Scores)'!K81-'Analysis Settings'!$F$16)/('Analysis Settings'!$G$16-'Analysis Settings'!$F$16),('Raw Data (0-4 Scores)'!K81-'Analysis Settings'!$F$16)/('Analysis Settings'!$F$16-'Analysis Settings'!$E$16)))))</f>
        <v>0.96908148802086191</v>
      </c>
      <c r="E81" s="22">
        <f>IF('Raw Data (0-4 Scores)'!L81='Analysis Settings'!$F$17,'Analysis Settings'!$B$9,1/(1+EXP(-'Analysis Settings'!$B$8*IF('Raw Data (0-4 Scores)'!L81&gt;'Analysis Settings'!$F$17,('Raw Data (0-4 Scores)'!L81-'Analysis Settings'!$F$17)/('Analysis Settings'!$G$17-'Analysis Settings'!$F$17),('Raw Data (0-4 Scores)'!L81-'Analysis Settings'!$F$17)/('Analysis Settings'!$F$17-'Analysis Settings'!$E$17)))))</f>
        <v>0.96007443979605434</v>
      </c>
      <c r="F81" s="22">
        <f>IF('Raw Data (0-4 Scores)'!M81='Analysis Settings'!$F$18,'Analysis Settings'!$B$9,1/(1+EXP(-'Analysis Settings'!$B$8*IF('Raw Data (0-4 Scores)'!M81&gt;'Analysis Settings'!$F$18,('Raw Data (0-4 Scores)'!M81-'Analysis Settings'!$F$18)/('Analysis Settings'!$G$18-'Analysis Settings'!$F$18),('Raw Data (0-4 Scores)'!M81-'Analysis Settings'!$F$18)/('Analysis Settings'!$F$18-'Analysis Settings'!$E$18)))))</f>
        <v>0.99650640000375257</v>
      </c>
      <c r="G81" s="22">
        <f>IF('Raw Data (0-4 Scores)'!N81='Analysis Settings'!$F$19,'Analysis Settings'!$B$9,1/(1+EXP(-'Analysis Settings'!$B$8*IF('Raw Data (0-4 Scores)'!N81&gt;'Analysis Settings'!$F$19,('Raw Data (0-4 Scores)'!N81-'Analysis Settings'!$F$19)/('Analysis Settings'!$G$19-'Analysis Settings'!$F$19),('Raw Data (0-4 Scores)'!N81-'Analysis Settings'!$F$19)/('Analysis Settings'!$F$19-'Analysis Settings'!$E$19)))))</f>
        <v>0.86812039050746515</v>
      </c>
      <c r="H81" s="22">
        <f>IF('Raw Data (0-4 Scores)'!O81='Analysis Settings'!$F$20,'Analysis Settings'!$B$9,1/(1+EXP(-'Analysis Settings'!$B$8*IF('Raw Data (0-4 Scores)'!O81&gt;'Analysis Settings'!$F$20,('Raw Data (0-4 Scores)'!O81-'Analysis Settings'!$F$20)/('Analysis Settings'!$G$20-'Analysis Settings'!$F$20),('Raw Data (0-4 Scores)'!O81-'Analysis Settings'!$F$20)/('Analysis Settings'!$F$20-'Analysis Settings'!$E$20)))))</f>
        <v>0.99595451800816148</v>
      </c>
      <c r="I81" s="22">
        <f>IF('Raw Data (0-4 Scores)'!P81='Analysis Settings'!$F$21,'Analysis Settings'!$B$9,1/(1+EXP(-'Analysis Settings'!$B$8*IF('Raw Data (0-4 Scores)'!P81&gt;'Analysis Settings'!$F$21,('Raw Data (0-4 Scores)'!P81-'Analysis Settings'!$F$21)/('Analysis Settings'!$G$21-'Analysis Settings'!$F$21),('Raw Data (0-4 Scores)'!P81-'Analysis Settings'!$F$21)/('Analysis Settings'!$F$21-'Analysis Settings'!$E$21)))))</f>
        <v>0.99595451800816148</v>
      </c>
      <c r="J81" s="22">
        <f t="shared" si="2"/>
        <v>4.0454819918385176E-3</v>
      </c>
    </row>
    <row r="82" spans="1:10" ht="15" customHeight="1" x14ac:dyDescent="0.3">
      <c r="A82" s="20" t="str">
        <f>'Raw Data (0-4 Scores)'!A82</f>
        <v>Samsung Electronics</v>
      </c>
      <c r="B82" s="20">
        <f>'Raw Data (0-4 Scores)'!E82</f>
        <v>2025</v>
      </c>
      <c r="C82" s="22">
        <f>IF('Raw Data (0-4 Scores)'!J82='Analysis Settings'!$F$15,'Analysis Settings'!$B$9,1/(1+EXP(-'Analysis Settings'!$B$8*IF('Raw Data (0-4 Scores)'!J82&gt;'Analysis Settings'!$F$15,('Raw Data (0-4 Scores)'!J82-'Analysis Settings'!$F$15)/('Analysis Settings'!$G$15-'Analysis Settings'!$F$15),('Raw Data (0-4 Scores)'!J82-'Analysis Settings'!$F$15)/('Analysis Settings'!$F$15-'Analysis Settings'!$E$15)))))</f>
        <v>0.99723756906077354</v>
      </c>
      <c r="D82" s="22">
        <f>IF('Raw Data (0-4 Scores)'!K82='Analysis Settings'!$F$16,'Analysis Settings'!$B$9,1/(1+EXP(-'Analysis Settings'!$B$8*IF('Raw Data (0-4 Scores)'!K82&gt;'Analysis Settings'!$F$16,('Raw Data (0-4 Scores)'!K82-'Analysis Settings'!$F$16)/('Analysis Settings'!$G$16-'Analysis Settings'!$F$16),('Raw Data (0-4 Scores)'!K82-'Analysis Settings'!$F$16)/('Analysis Settings'!$F$16-'Analysis Settings'!$E$16)))))</f>
        <v>0.98735502395561348</v>
      </c>
      <c r="E82" s="22">
        <f>IF('Raw Data (0-4 Scores)'!L82='Analysis Settings'!$F$17,'Analysis Settings'!$B$9,1/(1+EXP(-'Analysis Settings'!$B$8*IF('Raw Data (0-4 Scores)'!L82&gt;'Analysis Settings'!$F$17,('Raw Data (0-4 Scores)'!L82-'Analysis Settings'!$F$17)/('Analysis Settings'!$G$17-'Analysis Settings'!$F$17),('Raw Data (0-4 Scores)'!L82-'Analysis Settings'!$F$17)/('Analysis Settings'!$F$17-'Analysis Settings'!$E$17)))))</f>
        <v>0.8306156878453651</v>
      </c>
      <c r="F82" s="22">
        <f>IF('Raw Data (0-4 Scores)'!M82='Analysis Settings'!$F$18,'Analysis Settings'!$B$9,1/(1+EXP(-'Analysis Settings'!$B$8*IF('Raw Data (0-4 Scores)'!M82&gt;'Analysis Settings'!$F$18,('Raw Data (0-4 Scores)'!M82-'Analysis Settings'!$F$18)/('Analysis Settings'!$G$18-'Analysis Settings'!$F$18),('Raw Data (0-4 Scores)'!M82-'Analysis Settings'!$F$18)/('Analysis Settings'!$F$18-'Analysis Settings'!$E$18)))))</f>
        <v>0.99723756906077354</v>
      </c>
      <c r="G82" s="22">
        <f>IF('Raw Data (0-4 Scores)'!N82='Analysis Settings'!$F$19,'Analysis Settings'!$B$9,1/(1+EXP(-'Analysis Settings'!$B$8*IF('Raw Data (0-4 Scores)'!N82&gt;'Analysis Settings'!$F$19,('Raw Data (0-4 Scores)'!N82-'Analysis Settings'!$F$19)/('Analysis Settings'!$G$19-'Analysis Settings'!$F$19),('Raw Data (0-4 Scores)'!N82-'Analysis Settings'!$F$19)/('Analysis Settings'!$F$19-'Analysis Settings'!$E$19)))))</f>
        <v>0.95893037635095557</v>
      </c>
      <c r="H82" s="22">
        <f>IF('Raw Data (0-4 Scores)'!O82='Analysis Settings'!$F$20,'Analysis Settings'!$B$9,1/(1+EXP(-'Analysis Settings'!$B$8*IF('Raw Data (0-4 Scores)'!O82&gt;'Analysis Settings'!$F$20,('Raw Data (0-4 Scores)'!O82-'Analysis Settings'!$F$20)/('Analysis Settings'!$G$20-'Analysis Settings'!$F$20),('Raw Data (0-4 Scores)'!O82-'Analysis Settings'!$F$20)/('Analysis Settings'!$F$20-'Analysis Settings'!$E$20)))))</f>
        <v>0.99723756906077354</v>
      </c>
      <c r="I82" s="22">
        <f>IF('Raw Data (0-4 Scores)'!P82='Analysis Settings'!$F$21,'Analysis Settings'!$B$9,1/(1+EXP(-'Analysis Settings'!$B$8*IF('Raw Data (0-4 Scores)'!P82&gt;'Analysis Settings'!$F$21,('Raw Data (0-4 Scores)'!P82-'Analysis Settings'!$F$21)/('Analysis Settings'!$G$21-'Analysis Settings'!$F$21),('Raw Data (0-4 Scores)'!P82-'Analysis Settings'!$F$21)/('Analysis Settings'!$F$21-'Analysis Settings'!$E$21)))))</f>
        <v>0.99441579086928911</v>
      </c>
      <c r="J82" s="22">
        <f t="shared" si="2"/>
        <v>5.5842091307108932E-3</v>
      </c>
    </row>
    <row r="83" spans="1:10" ht="15" customHeight="1" x14ac:dyDescent="0.3">
      <c r="A83" s="20" t="str">
        <f>'Raw Data (0-4 Scores)'!A83</f>
        <v>Skyworks Solutions</v>
      </c>
      <c r="B83" s="20">
        <f>'Raw Data (0-4 Scores)'!E83</f>
        <v>2023</v>
      </c>
      <c r="C83" s="22">
        <f>IF('Raw Data (0-4 Scores)'!J83='Analysis Settings'!$F$15,'Analysis Settings'!$B$9,1/(1+EXP(-'Analysis Settings'!$B$8*IF('Raw Data (0-4 Scores)'!J83&gt;'Analysis Settings'!$F$15,('Raw Data (0-4 Scores)'!J83-'Analysis Settings'!$F$15)/('Analysis Settings'!$G$15-'Analysis Settings'!$F$15),('Raw Data (0-4 Scores)'!J83-'Analysis Settings'!$F$15)/('Analysis Settings'!$F$15-'Analysis Settings'!$E$15)))))</f>
        <v>2.6041939580460551E-2</v>
      </c>
      <c r="D83" s="22">
        <f>IF('Raw Data (0-4 Scores)'!K83='Analysis Settings'!$F$16,'Analysis Settings'!$B$9,1/(1+EXP(-'Analysis Settings'!$B$8*IF('Raw Data (0-4 Scores)'!K83&gt;'Analysis Settings'!$F$16,('Raw Data (0-4 Scores)'!K83-'Analysis Settings'!$F$16)/('Analysis Settings'!$G$16-'Analysis Settings'!$F$16),('Raw Data (0-4 Scores)'!K83-'Analysis Settings'!$F$16)/('Analysis Settings'!$F$16-'Analysis Settings'!$E$16)))))</f>
        <v>1.6901186826672999E-2</v>
      </c>
      <c r="E83" s="22">
        <f>IF('Raw Data (0-4 Scores)'!L83='Analysis Settings'!$F$17,'Analysis Settings'!$B$9,1/(1+EXP(-'Analysis Settings'!$B$8*IF('Raw Data (0-4 Scores)'!L83&gt;'Analysis Settings'!$F$17,('Raw Data (0-4 Scores)'!L83-'Analysis Settings'!$F$17)/('Analysis Settings'!$G$17-'Analysis Settings'!$F$17),('Raw Data (0-4 Scores)'!L83-'Analysis Settings'!$F$17)/('Analysis Settings'!$F$17-'Analysis Settings'!$E$17)))))</f>
        <v>0.92225078567327123</v>
      </c>
      <c r="F83" s="22">
        <f>IF('Raw Data (0-4 Scores)'!M83='Analysis Settings'!$F$18,'Analysis Settings'!$B$9,1/(1+EXP(-'Analysis Settings'!$B$8*IF('Raw Data (0-4 Scores)'!M83&gt;'Analysis Settings'!$F$18,('Raw Data (0-4 Scores)'!M83-'Analysis Settings'!$F$18)/('Analysis Settings'!$G$18-'Analysis Settings'!$F$18),('Raw Data (0-4 Scores)'!M83-'Analysis Settings'!$F$18)/('Analysis Settings'!$F$18-'Analysis Settings'!$E$18)))))</f>
        <v>1.0017786561852041E-2</v>
      </c>
      <c r="G83" s="22">
        <f>IF('Raw Data (0-4 Scores)'!N83='Analysis Settings'!$F$19,'Analysis Settings'!$B$9,1/(1+EXP(-'Analysis Settings'!$B$8*IF('Raw Data (0-4 Scores)'!N83&gt;'Analysis Settings'!$F$19,('Raw Data (0-4 Scores)'!N83-'Analysis Settings'!$F$19)/('Analysis Settings'!$G$19-'Analysis Settings'!$F$19),('Raw Data (0-4 Scores)'!N83-'Analysis Settings'!$F$19)/('Analysis Settings'!$F$19-'Analysis Settings'!$E$19)))))</f>
        <v>0.4779310556595604</v>
      </c>
      <c r="H83" s="22">
        <f>IF('Raw Data (0-4 Scores)'!O83='Analysis Settings'!$F$20,'Analysis Settings'!$B$9,1/(1+EXP(-'Analysis Settings'!$B$8*IF('Raw Data (0-4 Scores)'!O83&gt;'Analysis Settings'!$F$20,('Raw Data (0-4 Scores)'!O83-'Analysis Settings'!$F$20)/('Analysis Settings'!$G$20-'Analysis Settings'!$F$20),('Raw Data (0-4 Scores)'!O83-'Analysis Settings'!$F$20)/('Analysis Settings'!$F$20-'Analysis Settings'!$E$20)))))</f>
        <v>4.5967103748543979E-2</v>
      </c>
      <c r="I83" s="22">
        <f>IF('Raw Data (0-4 Scores)'!P83='Analysis Settings'!$F$21,'Analysis Settings'!$B$9,1/(1+EXP(-'Analysis Settings'!$B$8*IF('Raw Data (0-4 Scores)'!P83&gt;'Analysis Settings'!$F$21,('Raw Data (0-4 Scores)'!P83-'Analysis Settings'!$F$21)/('Analysis Settings'!$G$21-'Analysis Settings'!$F$21),('Raw Data (0-4 Scores)'!P83-'Analysis Settings'!$F$21)/('Analysis Settings'!$F$21-'Analysis Settings'!$E$21)))))</f>
        <v>0.5586179890472327</v>
      </c>
      <c r="J83" s="22">
        <f t="shared" si="2"/>
        <v>0.4413820109527673</v>
      </c>
    </row>
    <row r="84" spans="1:10" ht="15" customHeight="1" x14ac:dyDescent="0.3">
      <c r="A84" s="20" t="str">
        <f>'Raw Data (0-4 Scores)'!A84</f>
        <v>Skyworks Solutions</v>
      </c>
      <c r="B84" s="20">
        <f>'Raw Data (0-4 Scores)'!E84</f>
        <v>2024</v>
      </c>
      <c r="C84" s="22">
        <f>IF('Raw Data (0-4 Scores)'!J84='Analysis Settings'!$F$15,'Analysis Settings'!$B$9,1/(1+EXP(-'Analysis Settings'!$B$8*IF('Raw Data (0-4 Scores)'!J84&gt;'Analysis Settings'!$F$15,('Raw Data (0-4 Scores)'!J84-'Analysis Settings'!$F$15)/('Analysis Settings'!$G$15-'Analysis Settings'!$F$15),('Raw Data (0-4 Scores)'!J84-'Analysis Settings'!$F$15)/('Analysis Settings'!$F$15-'Analysis Settings'!$E$15)))))</f>
        <v>3.4649229260611335E-2</v>
      </c>
      <c r="D84" s="22">
        <f>IF('Raw Data (0-4 Scores)'!K84='Analysis Settings'!$F$16,'Analysis Settings'!$B$9,1/(1+EXP(-'Analysis Settings'!$B$8*IF('Raw Data (0-4 Scores)'!K84&gt;'Analysis Settings'!$F$16,('Raw Data (0-4 Scores)'!K84-'Analysis Settings'!$F$16)/('Analysis Settings'!$G$16-'Analysis Settings'!$F$16),('Raw Data (0-4 Scores)'!K84-'Analysis Settings'!$F$16)/('Analysis Settings'!$F$16-'Analysis Settings'!$E$16)))))</f>
        <v>7.3630248921681504E-2</v>
      </c>
      <c r="E84" s="22">
        <f>IF('Raw Data (0-4 Scores)'!L84='Analysis Settings'!$F$17,'Analysis Settings'!$B$9,1/(1+EXP(-'Analysis Settings'!$B$8*IF('Raw Data (0-4 Scores)'!L84&gt;'Analysis Settings'!$F$17,('Raw Data (0-4 Scores)'!L84-'Analysis Settings'!$F$17)/('Analysis Settings'!$G$17-'Analysis Settings'!$F$17),('Raw Data (0-4 Scores)'!L84-'Analysis Settings'!$F$17)/('Analysis Settings'!$F$17-'Analysis Settings'!$E$17)))))</f>
        <v>0.9156759617646506</v>
      </c>
      <c r="F84" s="22">
        <f>IF('Raw Data (0-4 Scores)'!M84='Analysis Settings'!$F$18,'Analysis Settings'!$B$9,1/(1+EXP(-'Analysis Settings'!$B$8*IF('Raw Data (0-4 Scores)'!M84&gt;'Analysis Settings'!$F$18,('Raw Data (0-4 Scores)'!M84-'Analysis Settings'!$F$18)/('Analysis Settings'!$G$18-'Analysis Settings'!$F$18),('Raw Data (0-4 Scores)'!M84-'Analysis Settings'!$F$18)/('Analysis Settings'!$F$18-'Analysis Settings'!$E$18)))))</f>
        <v>5.590033209290831E-2</v>
      </c>
      <c r="G84" s="22">
        <f>IF('Raw Data (0-4 Scores)'!N84='Analysis Settings'!$F$19,'Analysis Settings'!$B$9,1/(1+EXP(-'Analysis Settings'!$B$8*IF('Raw Data (0-4 Scores)'!N84&gt;'Analysis Settings'!$F$19,('Raw Data (0-4 Scores)'!N84-'Analysis Settings'!$F$19)/('Analysis Settings'!$G$19-'Analysis Settings'!$F$19),('Raw Data (0-4 Scores)'!N84-'Analysis Settings'!$F$19)/('Analysis Settings'!$F$19-'Analysis Settings'!$E$19)))))</f>
        <v>0.4852820582066058</v>
      </c>
      <c r="H84" s="22">
        <f>IF('Raw Data (0-4 Scores)'!O84='Analysis Settings'!$F$20,'Analysis Settings'!$B$9,1/(1+EXP(-'Analysis Settings'!$B$8*IF('Raw Data (0-4 Scores)'!O84&gt;'Analysis Settings'!$F$20,('Raw Data (0-4 Scores)'!O84-'Analysis Settings'!$F$20)/('Analysis Settings'!$G$20-'Analysis Settings'!$F$20),('Raw Data (0-4 Scores)'!O84-'Analysis Settings'!$F$20)/('Analysis Settings'!$F$20-'Analysis Settings'!$E$20)))))</f>
        <v>7.3630248921681504E-2</v>
      </c>
      <c r="I84" s="22">
        <f>IF('Raw Data (0-4 Scores)'!P84='Analysis Settings'!$F$21,'Analysis Settings'!$B$9,1/(1+EXP(-'Analysis Settings'!$B$8*IF('Raw Data (0-4 Scores)'!P84&gt;'Analysis Settings'!$F$21,('Raw Data (0-4 Scores)'!P84-'Analysis Settings'!$F$21)/('Analysis Settings'!$G$21-'Analysis Settings'!$F$21),('Raw Data (0-4 Scores)'!P84-'Analysis Settings'!$F$21)/('Analysis Settings'!$F$21-'Analysis Settings'!$E$21)))))</f>
        <v>0.62258966162316209</v>
      </c>
      <c r="J84" s="22">
        <f t="shared" si="2"/>
        <v>0.37741033837683791</v>
      </c>
    </row>
    <row r="85" spans="1:10" ht="15" customHeight="1" x14ac:dyDescent="0.3">
      <c r="A85" s="20" t="str">
        <f>'Raw Data (0-4 Scores)'!A85</f>
        <v>Skyworks Solutions</v>
      </c>
      <c r="B85" s="20">
        <f>'Raw Data (0-4 Scores)'!E85</f>
        <v>2025</v>
      </c>
      <c r="C85" s="22">
        <f>IF('Raw Data (0-4 Scores)'!J85='Analysis Settings'!$F$15,'Analysis Settings'!$B$9,1/(1+EXP(-'Analysis Settings'!$B$8*IF('Raw Data (0-4 Scores)'!J85&gt;'Analysis Settings'!$F$15,('Raw Data (0-4 Scores)'!J85-'Analysis Settings'!$F$15)/('Analysis Settings'!$G$15-'Analysis Settings'!$F$15),('Raw Data (0-4 Scores)'!J85-'Analysis Settings'!$F$15)/('Analysis Settings'!$F$15-'Analysis Settings'!$E$15)))))</f>
        <v>0.12528250695786336</v>
      </c>
      <c r="D85" s="22">
        <f>IF('Raw Data (0-4 Scores)'!K85='Analysis Settings'!$F$16,'Analysis Settings'!$B$9,1/(1+EXP(-'Analysis Settings'!$B$8*IF('Raw Data (0-4 Scores)'!K85&gt;'Analysis Settings'!$F$16,('Raw Data (0-4 Scores)'!K85-'Analysis Settings'!$F$16)/('Analysis Settings'!$G$16-'Analysis Settings'!$F$16),('Raw Data (0-4 Scores)'!K85-'Analysis Settings'!$F$16)/('Analysis Settings'!$F$16-'Analysis Settings'!$E$16)))))</f>
        <v>0.16125958992298431</v>
      </c>
      <c r="E85" s="22">
        <f>IF('Raw Data (0-4 Scores)'!L85='Analysis Settings'!$F$17,'Analysis Settings'!$B$9,1/(1+EXP(-'Analysis Settings'!$B$8*IF('Raw Data (0-4 Scores)'!L85&gt;'Analysis Settings'!$F$17,('Raw Data (0-4 Scores)'!L85-'Analysis Settings'!$F$17)/('Analysis Settings'!$G$17-'Analysis Settings'!$F$17),('Raw Data (0-4 Scores)'!L85-'Analysis Settings'!$F$17)/('Analysis Settings'!$F$17-'Analysis Settings'!$E$17)))))</f>
        <v>0.97808287869001476</v>
      </c>
      <c r="F85" s="22">
        <f>IF('Raw Data (0-4 Scores)'!M85='Analysis Settings'!$F$18,'Analysis Settings'!$B$9,1/(1+EXP(-'Analysis Settings'!$B$8*IF('Raw Data (0-4 Scores)'!M85&gt;'Analysis Settings'!$F$18,('Raw Data (0-4 Scores)'!M85-'Analysis Settings'!$F$18)/('Analysis Settings'!$G$18-'Analysis Settings'!$F$18),('Raw Data (0-4 Scores)'!M85-'Analysis Settings'!$F$18)/('Analysis Settings'!$F$18-'Analysis Settings'!$E$18)))))</f>
        <v>9.6409317267619671E-2</v>
      </c>
      <c r="G85" s="22">
        <f>IF('Raw Data (0-4 Scores)'!N85='Analysis Settings'!$F$19,'Analysis Settings'!$B$9,1/(1+EXP(-'Analysis Settings'!$B$8*IF('Raw Data (0-4 Scores)'!N85&gt;'Analysis Settings'!$F$19,('Raw Data (0-4 Scores)'!N85-'Analysis Settings'!$F$19)/('Analysis Settings'!$G$19-'Analysis Settings'!$F$19),('Raw Data (0-4 Scores)'!N85-'Analysis Settings'!$F$19)/('Analysis Settings'!$F$19-'Analysis Settings'!$E$19)))))</f>
        <v>0.79961443510363384</v>
      </c>
      <c r="H85" s="22">
        <f>IF('Raw Data (0-4 Scores)'!O85='Analysis Settings'!$F$20,'Analysis Settings'!$B$9,1/(1+EXP(-'Analysis Settings'!$B$8*IF('Raw Data (0-4 Scores)'!O85&gt;'Analysis Settings'!$F$20,('Raw Data (0-4 Scores)'!O85-'Analysis Settings'!$F$20)/('Analysis Settings'!$G$20-'Analysis Settings'!$F$20),('Raw Data (0-4 Scores)'!O85-'Analysis Settings'!$F$20)/('Analysis Settings'!$F$20-'Analysis Settings'!$E$20)))))</f>
        <v>0.12528250695786336</v>
      </c>
      <c r="I85" s="22">
        <f>IF('Raw Data (0-4 Scores)'!P85='Analysis Settings'!$F$21,'Analysis Settings'!$B$9,1/(1+EXP(-'Analysis Settings'!$B$8*IF('Raw Data (0-4 Scores)'!P85&gt;'Analysis Settings'!$F$21,('Raw Data (0-4 Scores)'!P85-'Analysis Settings'!$F$21)/('Analysis Settings'!$G$21-'Analysis Settings'!$F$21),('Raw Data (0-4 Scores)'!P85-'Analysis Settings'!$F$21)/('Analysis Settings'!$F$21-'Analysis Settings'!$E$21)))))</f>
        <v>0.73702321694075879</v>
      </c>
      <c r="J85" s="22">
        <f t="shared" si="2"/>
        <v>0.26297678305924121</v>
      </c>
    </row>
    <row r="86" spans="1:10" ht="15" customHeight="1" x14ac:dyDescent="0.3">
      <c r="A86" s="20" t="str">
        <f>'Raw Data (0-4 Scores)'!A86</f>
        <v>Taiwan Semiconductor Manufacturing Co.</v>
      </c>
      <c r="B86" s="20">
        <f>'Raw Data (0-4 Scores)'!E86</f>
        <v>2023</v>
      </c>
      <c r="C86" s="22">
        <f>IF('Raw Data (0-4 Scores)'!J86='Analysis Settings'!$F$15,'Analysis Settings'!$B$9,1/(1+EXP(-'Analysis Settings'!$B$8*IF('Raw Data (0-4 Scores)'!J86&gt;'Analysis Settings'!$F$15,('Raw Data (0-4 Scores)'!J86-'Analysis Settings'!$F$15)/('Analysis Settings'!$G$15-'Analysis Settings'!$F$15),('Raw Data (0-4 Scores)'!J86-'Analysis Settings'!$F$15)/('Analysis Settings'!$F$15-'Analysis Settings'!$E$15)))))</f>
        <v>0.86812039050746515</v>
      </c>
      <c r="D86" s="22">
        <f>IF('Raw Data (0-4 Scores)'!K86='Analysis Settings'!$F$16,'Analysis Settings'!$B$9,1/(1+EXP(-'Analysis Settings'!$B$8*IF('Raw Data (0-4 Scores)'!K86&gt;'Analysis Settings'!$F$16,('Raw Data (0-4 Scores)'!K86-'Analysis Settings'!$F$16)/('Analysis Settings'!$G$16-'Analysis Settings'!$F$16),('Raw Data (0-4 Scores)'!K86-'Analysis Settings'!$F$16)/('Analysis Settings'!$F$16-'Analysis Settings'!$E$16)))))</f>
        <v>0.5730837229612793</v>
      </c>
      <c r="E86" s="22">
        <f>IF('Raw Data (0-4 Scores)'!L86='Analysis Settings'!$F$17,'Analysis Settings'!$B$9,1/(1+EXP(-'Analysis Settings'!$B$8*IF('Raw Data (0-4 Scores)'!L86&gt;'Analysis Settings'!$F$17,('Raw Data (0-4 Scores)'!L86-'Analysis Settings'!$F$17)/('Analysis Settings'!$G$17-'Analysis Settings'!$F$17),('Raw Data (0-4 Scores)'!L86-'Analysis Settings'!$F$17)/('Analysis Settings'!$F$17-'Analysis Settings'!$E$17)))))</f>
        <v>0.96535077073938858</v>
      </c>
      <c r="F86" s="22">
        <f>IF('Raw Data (0-4 Scores)'!M86='Analysis Settings'!$F$18,'Analysis Settings'!$B$9,1/(1+EXP(-'Analysis Settings'!$B$8*IF('Raw Data (0-4 Scores)'!M86&gt;'Analysis Settings'!$F$18,('Raw Data (0-4 Scores)'!M86-'Analysis Settings'!$F$18)/('Analysis Settings'!$G$18-'Analysis Settings'!$F$18),('Raw Data (0-4 Scores)'!M86-'Analysis Settings'!$F$18)/('Analysis Settings'!$F$18-'Analysis Settings'!$E$18)))))</f>
        <v>0.99159085810799641</v>
      </c>
      <c r="G86" s="22">
        <f>IF('Raw Data (0-4 Scores)'!N86='Analysis Settings'!$F$19,'Analysis Settings'!$B$9,1/(1+EXP(-'Analysis Settings'!$B$8*IF('Raw Data (0-4 Scores)'!N86&gt;'Analysis Settings'!$F$19,('Raw Data (0-4 Scores)'!N86-'Analysis Settings'!$F$19)/('Analysis Settings'!$G$19-'Analysis Settings'!$F$19),('Raw Data (0-4 Scores)'!N86-'Analysis Settings'!$F$19)/('Analysis Settings'!$F$19-'Analysis Settings'!$E$19)))))</f>
        <v>0.99424988213991772</v>
      </c>
      <c r="H86" s="22">
        <f>IF('Raw Data (0-4 Scores)'!O86='Analysis Settings'!$F$20,'Analysis Settings'!$B$9,1/(1+EXP(-'Analysis Settings'!$B$8*IF('Raw Data (0-4 Scores)'!O86&gt;'Analysis Settings'!$F$20,('Raw Data (0-4 Scores)'!O86-'Analysis Settings'!$F$20)/('Analysis Settings'!$G$20-'Analysis Settings'!$F$20),('Raw Data (0-4 Scores)'!O86-'Analysis Settings'!$F$20)/('Analysis Settings'!$F$20-'Analysis Settings'!$E$20)))))</f>
        <v>0.96632226456164849</v>
      </c>
      <c r="I86" s="22">
        <f>IF('Raw Data (0-4 Scores)'!P86='Analysis Settings'!$F$21,'Analysis Settings'!$B$9,1/(1+EXP(-'Analysis Settings'!$B$8*IF('Raw Data (0-4 Scores)'!P86&gt;'Analysis Settings'!$F$21,('Raw Data (0-4 Scores)'!P86-'Analysis Settings'!$F$21)/('Analysis Settings'!$G$21-'Analysis Settings'!$F$21),('Raw Data (0-4 Scores)'!P86-'Analysis Settings'!$F$21)/('Analysis Settings'!$F$21-'Analysis Settings'!$E$21)))))</f>
        <v>0.91101623603169113</v>
      </c>
      <c r="J86" s="22">
        <f t="shared" si="2"/>
        <v>8.8983763968308871E-2</v>
      </c>
    </row>
    <row r="87" spans="1:10" ht="15" customHeight="1" x14ac:dyDescent="0.3">
      <c r="A87" s="20" t="str">
        <f>'Raw Data (0-4 Scores)'!A87</f>
        <v>Taiwan Semiconductor Manufacturing Co.</v>
      </c>
      <c r="B87" s="20">
        <f>'Raw Data (0-4 Scores)'!E87</f>
        <v>2024</v>
      </c>
      <c r="C87" s="22">
        <f>IF('Raw Data (0-4 Scores)'!J87='Analysis Settings'!$F$15,'Analysis Settings'!$B$9,1/(1+EXP(-'Analysis Settings'!$B$8*IF('Raw Data (0-4 Scores)'!J87&gt;'Analysis Settings'!$F$15,('Raw Data (0-4 Scores)'!J87-'Analysis Settings'!$F$15)/('Analysis Settings'!$G$15-'Analysis Settings'!$F$15),('Raw Data (0-4 Scores)'!J87-'Analysis Settings'!$F$15)/('Analysis Settings'!$F$15-'Analysis Settings'!$E$15)))))</f>
        <v>0.96435228628487957</v>
      </c>
      <c r="D87" s="22">
        <f>IF('Raw Data (0-4 Scores)'!K87='Analysis Settings'!$F$16,'Analysis Settings'!$B$9,1/(1+EXP(-'Analysis Settings'!$B$8*IF('Raw Data (0-4 Scores)'!K87&gt;'Analysis Settings'!$F$16,('Raw Data (0-4 Scores)'!K87-'Analysis Settings'!$F$16)/('Analysis Settings'!$G$16-'Analysis Settings'!$F$16),('Raw Data (0-4 Scores)'!K87-'Analysis Settings'!$F$16)/('Analysis Settings'!$F$16-'Analysis Settings'!$E$16)))))</f>
        <v>0.4779310556595604</v>
      </c>
      <c r="E87" s="22">
        <f>IF('Raw Data (0-4 Scores)'!L87='Analysis Settings'!$F$17,'Analysis Settings'!$B$9,1/(1+EXP(-'Analysis Settings'!$B$8*IF('Raw Data (0-4 Scores)'!L87&gt;'Analysis Settings'!$F$17,('Raw Data (0-4 Scores)'!L87-'Analysis Settings'!$F$17)/('Analysis Settings'!$G$17-'Analysis Settings'!$F$17),('Raw Data (0-4 Scores)'!L87-'Analysis Settings'!$F$17)/('Analysis Settings'!$F$17-'Analysis Settings'!$E$17)))))</f>
        <v>0.95000000000000007</v>
      </c>
      <c r="F87" s="22">
        <f>IF('Raw Data (0-4 Scores)'!M87='Analysis Settings'!$F$18,'Analysis Settings'!$B$9,1/(1+EXP(-'Analysis Settings'!$B$8*IF('Raw Data (0-4 Scores)'!M87&gt;'Analysis Settings'!$F$18,('Raw Data (0-4 Scores)'!M87-'Analysis Settings'!$F$18)/('Analysis Settings'!$G$18-'Analysis Settings'!$F$18),('Raw Data (0-4 Scores)'!M87-'Analysis Settings'!$F$18)/('Analysis Settings'!$F$18-'Analysis Settings'!$E$18)))))</f>
        <v>0.99689335489649678</v>
      </c>
      <c r="G87" s="22">
        <f>IF('Raw Data (0-4 Scores)'!N87='Analysis Settings'!$F$19,'Analysis Settings'!$B$9,1/(1+EXP(-'Analysis Settings'!$B$8*IF('Raw Data (0-4 Scores)'!N87&gt;'Analysis Settings'!$F$19,('Raw Data (0-4 Scores)'!N87-'Analysis Settings'!$F$19)/('Analysis Settings'!$G$19-'Analysis Settings'!$F$19),('Raw Data (0-4 Scores)'!N87-'Analysis Settings'!$F$19)/('Analysis Settings'!$F$19-'Analysis Settings'!$E$19)))))</f>
        <v>0.99707049842023288</v>
      </c>
      <c r="H87" s="22">
        <f>IF('Raw Data (0-4 Scores)'!O87='Analysis Settings'!$F$20,'Analysis Settings'!$B$9,1/(1+EXP(-'Analysis Settings'!$B$8*IF('Raw Data (0-4 Scores)'!O87&gt;'Analysis Settings'!$F$20,('Raw Data (0-4 Scores)'!O87-'Analysis Settings'!$F$20)/('Analysis Settings'!$G$20-'Analysis Settings'!$F$20),('Raw Data (0-4 Scores)'!O87-'Analysis Settings'!$F$20)/('Analysis Settings'!$F$20-'Analysis Settings'!$E$20)))))</f>
        <v>0.93028699837745943</v>
      </c>
      <c r="I87" s="22">
        <f>IF('Raw Data (0-4 Scores)'!P87='Analysis Settings'!$F$21,'Analysis Settings'!$B$9,1/(1+EXP(-'Analysis Settings'!$B$8*IF('Raw Data (0-4 Scores)'!P87&gt;'Analysis Settings'!$F$21,('Raw Data (0-4 Scores)'!P87-'Analysis Settings'!$F$21)/('Analysis Settings'!$G$21-'Analysis Settings'!$F$21),('Raw Data (0-4 Scores)'!P87-'Analysis Settings'!$F$21)/('Analysis Settings'!$F$21-'Analysis Settings'!$E$21)))))</f>
        <v>0.96227157328992696</v>
      </c>
      <c r="J87" s="22">
        <f t="shared" si="2"/>
        <v>3.7728426710073037E-2</v>
      </c>
    </row>
    <row r="88" spans="1:10" ht="15" customHeight="1" x14ac:dyDescent="0.3">
      <c r="A88" s="20" t="str">
        <f>'Raw Data (0-4 Scores)'!A88</f>
        <v>Taiwan Semiconductor Manufacturing Co.</v>
      </c>
      <c r="B88" s="20">
        <f>'Raw Data (0-4 Scores)'!E88</f>
        <v>2025</v>
      </c>
      <c r="C88" s="22">
        <f>IF('Raw Data (0-4 Scores)'!J88='Analysis Settings'!$F$15,'Analysis Settings'!$B$9,1/(1+EXP(-'Analysis Settings'!$B$8*IF('Raw Data (0-4 Scores)'!J88&gt;'Analysis Settings'!$F$15,('Raw Data (0-4 Scores)'!J88-'Analysis Settings'!$F$15)/('Analysis Settings'!$G$15-'Analysis Settings'!$F$15),('Raw Data (0-4 Scores)'!J88-'Analysis Settings'!$F$15)/('Analysis Settings'!$F$15-'Analysis Settings'!$E$15)))))</f>
        <v>0.97079803321377589</v>
      </c>
      <c r="D88" s="22">
        <f>IF('Raw Data (0-4 Scores)'!K88='Analysis Settings'!$F$16,'Analysis Settings'!$B$9,1/(1+EXP(-'Analysis Settings'!$B$8*IF('Raw Data (0-4 Scores)'!K88&gt;'Analysis Settings'!$F$16,('Raw Data (0-4 Scores)'!K88-'Analysis Settings'!$F$16)/('Analysis Settings'!$G$16-'Analysis Settings'!$F$16),('Raw Data (0-4 Scores)'!K88-'Analysis Settings'!$F$16)/('Analysis Settings'!$F$16-'Analysis Settings'!$E$16)))))</f>
        <v>0.89833727306921118</v>
      </c>
      <c r="E88" s="22">
        <f>IF('Raw Data (0-4 Scores)'!L88='Analysis Settings'!$F$17,'Analysis Settings'!$B$9,1/(1+EXP(-'Analysis Settings'!$B$8*IF('Raw Data (0-4 Scores)'!L88&gt;'Analysis Settings'!$F$17,('Raw Data (0-4 Scores)'!L88-'Analysis Settings'!$F$17)/('Analysis Settings'!$G$17-'Analysis Settings'!$F$17),('Raw Data (0-4 Scores)'!L88-'Analysis Settings'!$F$17)/('Analysis Settings'!$F$17-'Analysis Settings'!$E$17)))))</f>
        <v>0.97610714998894044</v>
      </c>
      <c r="F88" s="22">
        <f>IF('Raw Data (0-4 Scores)'!M88='Analysis Settings'!$F$18,'Analysis Settings'!$B$9,1/(1+EXP(-'Analysis Settings'!$B$8*IF('Raw Data (0-4 Scores)'!M88&gt;'Analysis Settings'!$F$18,('Raw Data (0-4 Scores)'!M88-'Analysis Settings'!$F$18)/('Analysis Settings'!$G$18-'Analysis Settings'!$F$18),('Raw Data (0-4 Scores)'!M88-'Analysis Settings'!$F$18)/('Analysis Settings'!$F$18-'Analysis Settings'!$E$18)))))</f>
        <v>0.99723756906077354</v>
      </c>
      <c r="G88" s="22">
        <f>IF('Raw Data (0-4 Scores)'!N88='Analysis Settings'!$F$19,'Analysis Settings'!$B$9,1/(1+EXP(-'Analysis Settings'!$B$8*IF('Raw Data (0-4 Scores)'!N88&gt;'Analysis Settings'!$F$19,('Raw Data (0-4 Scores)'!N88-'Analysis Settings'!$F$19)/('Analysis Settings'!$G$19-'Analysis Settings'!$F$19),('Raw Data (0-4 Scores)'!N88-'Analysis Settings'!$F$19)/('Analysis Settings'!$F$19-'Analysis Settings'!$E$19)))))</f>
        <v>0.99723756906077354</v>
      </c>
      <c r="H88" s="22">
        <f>IF('Raw Data (0-4 Scores)'!O88='Analysis Settings'!$F$20,'Analysis Settings'!$B$9,1/(1+EXP(-'Analysis Settings'!$B$8*IF('Raw Data (0-4 Scores)'!O88&gt;'Analysis Settings'!$F$20,('Raw Data (0-4 Scores)'!O88-'Analysis Settings'!$F$20)/('Analysis Settings'!$G$20-'Analysis Settings'!$F$20),('Raw Data (0-4 Scores)'!O88-'Analysis Settings'!$F$20)/('Analysis Settings'!$F$20-'Analysis Settings'!$E$20)))))</f>
        <v>0.99723756906077354</v>
      </c>
      <c r="I88" s="22">
        <f>IF('Raw Data (0-4 Scores)'!P88='Analysis Settings'!$F$21,'Analysis Settings'!$B$9,1/(1+EXP(-'Analysis Settings'!$B$8*IF('Raw Data (0-4 Scores)'!P88&gt;'Analysis Settings'!$F$21,('Raw Data (0-4 Scores)'!P88-'Analysis Settings'!$F$21)/('Analysis Settings'!$G$21-'Analysis Settings'!$F$21),('Raw Data (0-4 Scores)'!P88-'Analysis Settings'!$F$21)/('Analysis Settings'!$F$21-'Analysis Settings'!$E$21)))))</f>
        <v>0.94563344303041863</v>
      </c>
      <c r="J88" s="22">
        <f t="shared" si="2"/>
        <v>5.436655696958137E-2</v>
      </c>
    </row>
    <row r="89" spans="1:10" ht="15" customHeight="1" x14ac:dyDescent="0.3">
      <c r="A89" s="20" t="str">
        <f>'Raw Data (0-4 Scores)'!A89</f>
        <v>Texas Instruments</v>
      </c>
      <c r="B89" s="20">
        <f>'Raw Data (0-4 Scores)'!E89</f>
        <v>2023</v>
      </c>
      <c r="C89" s="22">
        <f>IF('Raw Data (0-4 Scores)'!J89='Analysis Settings'!$F$15,'Analysis Settings'!$B$9,1/(1+EXP(-'Analysis Settings'!$B$8*IF('Raw Data (0-4 Scores)'!J89&gt;'Analysis Settings'!$F$15,('Raw Data (0-4 Scores)'!J89-'Analysis Settings'!$F$15)/('Analysis Settings'!$G$15-'Analysis Settings'!$F$15),('Raw Data (0-4 Scores)'!J89-'Analysis Settings'!$F$15)/('Analysis Settings'!$F$15-'Analysis Settings'!$E$15)))))</f>
        <v>1.3401706499242933E-2</v>
      </c>
      <c r="D89" s="22">
        <f>IF('Raw Data (0-4 Scores)'!K89='Analysis Settings'!$F$16,'Analysis Settings'!$B$9,1/(1+EXP(-'Analysis Settings'!$B$8*IF('Raw Data (0-4 Scores)'!K89&gt;'Analysis Settings'!$F$16,('Raw Data (0-4 Scores)'!K89-'Analysis Settings'!$F$16)/('Analysis Settings'!$G$16-'Analysis Settings'!$F$16),('Raw Data (0-4 Scores)'!K89-'Analysis Settings'!$F$16)/('Analysis Settings'!$F$16-'Analysis Settings'!$E$16)))))</f>
        <v>1.6901186826672999E-2</v>
      </c>
      <c r="E89" s="22">
        <f>IF('Raw Data (0-4 Scores)'!L89='Analysis Settings'!$F$17,'Analysis Settings'!$B$9,1/(1+EXP(-'Analysis Settings'!$B$8*IF('Raw Data (0-4 Scores)'!L89&gt;'Analysis Settings'!$F$17,('Raw Data (0-4 Scores)'!L89-'Analysis Settings'!$F$17)/('Analysis Settings'!$G$17-'Analysis Settings'!$F$17),('Raw Data (0-4 Scores)'!L89-'Analysis Settings'!$F$17)/('Analysis Settings'!$F$17-'Analysis Settings'!$E$17)))))</f>
        <v>0.99723756906077354</v>
      </c>
      <c r="F89" s="22">
        <f>IF('Raw Data (0-4 Scores)'!M89='Analysis Settings'!$F$18,'Analysis Settings'!$B$9,1/(1+EXP(-'Analysis Settings'!$B$8*IF('Raw Data (0-4 Scores)'!M89&gt;'Analysis Settings'!$F$18,('Raw Data (0-4 Scores)'!M89-'Analysis Settings'!$F$18)/('Analysis Settings'!$G$18-'Analysis Settings'!$F$18),('Raw Data (0-4 Scores)'!M89-'Analysis Settings'!$F$18)/('Analysis Settings'!$F$18-'Analysis Settings'!$E$18)))))</f>
        <v>0.90099498930288291</v>
      </c>
      <c r="G89" s="22">
        <f>IF('Raw Data (0-4 Scores)'!N89='Analysis Settings'!$F$19,'Analysis Settings'!$B$9,1/(1+EXP(-'Analysis Settings'!$B$8*IF('Raw Data (0-4 Scores)'!N89&gt;'Analysis Settings'!$F$19,('Raw Data (0-4 Scores)'!N89-'Analysis Settings'!$F$19)/('Analysis Settings'!$G$19-'Analysis Settings'!$F$19),('Raw Data (0-4 Scores)'!N89-'Analysis Settings'!$F$19)/('Analysis Settings'!$F$19-'Analysis Settings'!$E$19)))))</f>
        <v>0.88998145424306152</v>
      </c>
      <c r="H89" s="22">
        <f>IF('Raw Data (0-4 Scores)'!O89='Analysis Settings'!$F$20,'Analysis Settings'!$B$9,1/(1+EXP(-'Analysis Settings'!$B$8*IF('Raw Data (0-4 Scores)'!O89&gt;'Analysis Settings'!$F$20,('Raw Data (0-4 Scores)'!O89-'Analysis Settings'!$F$20)/('Analysis Settings'!$G$20-'Analysis Settings'!$F$20),('Raw Data (0-4 Scores)'!O89-'Analysis Settings'!$F$20)/('Analysis Settings'!$F$20-'Analysis Settings'!$E$20)))))</f>
        <v>0.99134175044225359</v>
      </c>
      <c r="I89" s="22">
        <f>IF('Raw Data (0-4 Scores)'!P89='Analysis Settings'!$F$21,'Analysis Settings'!$B$9,1/(1+EXP(-'Analysis Settings'!$B$8*IF('Raw Data (0-4 Scores)'!P89&gt;'Analysis Settings'!$F$21,('Raw Data (0-4 Scores)'!P89-'Analysis Settings'!$F$21)/('Analysis Settings'!$G$21-'Analysis Settings'!$F$21),('Raw Data (0-4 Scores)'!P89-'Analysis Settings'!$F$21)/('Analysis Settings'!$F$21-'Analysis Settings'!$E$21)))))</f>
        <v>0.97744272118270281</v>
      </c>
      <c r="J89" s="22">
        <f t="shared" si="2"/>
        <v>2.2557278817297188E-2</v>
      </c>
    </row>
    <row r="90" spans="1:10" ht="15" customHeight="1" x14ac:dyDescent="0.3">
      <c r="A90" s="20" t="str">
        <f>'Raw Data (0-4 Scores)'!A90</f>
        <v>Texas Instruments</v>
      </c>
      <c r="B90" s="20">
        <f>'Raw Data (0-4 Scores)'!E90</f>
        <v>2024</v>
      </c>
      <c r="C90" s="22">
        <f>IF('Raw Data (0-4 Scores)'!J90='Analysis Settings'!$F$15,'Analysis Settings'!$B$9,1/(1+EXP(-'Analysis Settings'!$B$8*IF('Raw Data (0-4 Scores)'!J90&gt;'Analysis Settings'!$F$15,('Raw Data (0-4 Scores)'!J90-'Analysis Settings'!$F$15)/('Analysis Settings'!$G$15-'Analysis Settings'!$F$15),('Raw Data (0-4 Scores)'!J90-'Analysis Settings'!$F$15)/('Analysis Settings'!$F$15-'Analysis Settings'!$E$15)))))</f>
        <v>5.590033209290831E-2</v>
      </c>
      <c r="D90" s="22">
        <f>IF('Raw Data (0-4 Scores)'!K90='Analysis Settings'!$F$16,'Analysis Settings'!$B$9,1/(1+EXP(-'Analysis Settings'!$B$8*IF('Raw Data (0-4 Scores)'!K90&gt;'Analysis Settings'!$F$16,('Raw Data (0-4 Scores)'!K90-'Analysis Settings'!$F$16)/('Analysis Settings'!$G$16-'Analysis Settings'!$F$16),('Raw Data (0-4 Scores)'!K90-'Analysis Settings'!$F$16)/('Analysis Settings'!$F$16-'Analysis Settings'!$E$16)))))</f>
        <v>6.4197542640305805E-2</v>
      </c>
      <c r="E90" s="22">
        <f>IF('Raw Data (0-4 Scores)'!L90='Analysis Settings'!$F$17,'Analysis Settings'!$B$9,1/(1+EXP(-'Analysis Settings'!$B$8*IF('Raw Data (0-4 Scores)'!L90&gt;'Analysis Settings'!$F$17,('Raw Data (0-4 Scores)'!L90-'Analysis Settings'!$F$17)/('Analysis Settings'!$G$17-'Analysis Settings'!$F$17),('Raw Data (0-4 Scores)'!L90-'Analysis Settings'!$F$17)/('Analysis Settings'!$F$17-'Analysis Settings'!$E$17)))))</f>
        <v>0.99689335489649678</v>
      </c>
      <c r="F90" s="22">
        <f>IF('Raw Data (0-4 Scores)'!M90='Analysis Settings'!$F$18,'Analysis Settings'!$B$9,1/(1+EXP(-'Analysis Settings'!$B$8*IF('Raw Data (0-4 Scores)'!M90&gt;'Analysis Settings'!$F$18,('Raw Data (0-4 Scores)'!M90-'Analysis Settings'!$F$18)/('Analysis Settings'!$G$18-'Analysis Settings'!$F$18),('Raw Data (0-4 Scores)'!M90-'Analysis Settings'!$F$18)/('Analysis Settings'!$F$18-'Analysis Settings'!$E$18)))))</f>
        <v>0.96332612167467657</v>
      </c>
      <c r="G90" s="22">
        <f>IF('Raw Data (0-4 Scores)'!N90='Analysis Settings'!$F$19,'Analysis Settings'!$B$9,1/(1+EXP(-'Analysis Settings'!$B$8*IF('Raw Data (0-4 Scores)'!N90&gt;'Analysis Settings'!$F$19,('Raw Data (0-4 Scores)'!N90-'Analysis Settings'!$F$19)/('Analysis Settings'!$G$19-'Analysis Settings'!$F$19),('Raw Data (0-4 Scores)'!N90-'Analysis Settings'!$F$19)/('Analysis Settings'!$F$19-'Analysis Settings'!$E$19)))))</f>
        <v>0.88408160254662571</v>
      </c>
      <c r="H90" s="22">
        <f>IF('Raw Data (0-4 Scores)'!O90='Analysis Settings'!$F$20,'Analysis Settings'!$B$9,1/(1+EXP(-'Analysis Settings'!$B$8*IF('Raw Data (0-4 Scores)'!O90&gt;'Analysis Settings'!$F$20,('Raw Data (0-4 Scores)'!O90-'Analysis Settings'!$F$20)/('Analysis Settings'!$G$20-'Analysis Settings'!$F$20),('Raw Data (0-4 Scores)'!O90-'Analysis Settings'!$F$20)/('Analysis Settings'!$F$20-'Analysis Settings'!$E$20)))))</f>
        <v>0.99723756906077354</v>
      </c>
      <c r="I90" s="22">
        <f>IF('Raw Data (0-4 Scores)'!P90='Analysis Settings'!$F$21,'Analysis Settings'!$B$9,1/(1+EXP(-'Analysis Settings'!$B$8*IF('Raw Data (0-4 Scores)'!P90&gt;'Analysis Settings'!$F$21,('Raw Data (0-4 Scores)'!P90-'Analysis Settings'!$F$21)/('Analysis Settings'!$G$21-'Analysis Settings'!$F$21),('Raw Data (0-4 Scores)'!P90-'Analysis Settings'!$F$21)/('Analysis Settings'!$F$21-'Analysis Settings'!$E$21)))))</f>
        <v>0.99723756906077354</v>
      </c>
      <c r="J90" s="22">
        <f t="shared" si="2"/>
        <v>2.7624309392264568E-3</v>
      </c>
    </row>
    <row r="91" spans="1:10" ht="15" customHeight="1" x14ac:dyDescent="0.3">
      <c r="A91" s="20" t="str">
        <f>'Raw Data (0-4 Scores)'!A91</f>
        <v>Texas Instruments</v>
      </c>
      <c r="B91" s="20">
        <f>'Raw Data (0-4 Scores)'!E91</f>
        <v>2025</v>
      </c>
      <c r="C91" s="22">
        <f>IF('Raw Data (0-4 Scores)'!J91='Analysis Settings'!$F$15,'Analysis Settings'!$B$9,1/(1+EXP(-'Analysis Settings'!$B$8*IF('Raw Data (0-4 Scores)'!J91&gt;'Analysis Settings'!$F$15,('Raw Data (0-4 Scores)'!J91-'Analysis Settings'!$F$15)/('Analysis Settings'!$G$15-'Analysis Settings'!$F$15),('Raw Data (0-4 Scores)'!J91-'Analysis Settings'!$F$15)/('Analysis Settings'!$F$15-'Analysis Settings'!$E$15)))))</f>
        <v>8.4324038235349494E-2</v>
      </c>
      <c r="D91" s="22">
        <f>IF('Raw Data (0-4 Scores)'!K91='Analysis Settings'!$F$16,'Analysis Settings'!$B$9,1/(1+EXP(-'Analysis Settings'!$B$8*IF('Raw Data (0-4 Scores)'!K91&gt;'Analysis Settings'!$F$16,('Raw Data (0-4 Scores)'!K91-'Analysis Settings'!$F$16)/('Analysis Settings'!$G$16-'Analysis Settings'!$F$16),('Raw Data (0-4 Scores)'!K91-'Analysis Settings'!$F$16)/('Analysis Settings'!$F$16-'Analysis Settings'!$E$16)))))</f>
        <v>0.14966651810737716</v>
      </c>
      <c r="E91" s="22">
        <f>IF('Raw Data (0-4 Scores)'!L91='Analysis Settings'!$F$17,'Analysis Settings'!$B$9,1/(1+EXP(-'Analysis Settings'!$B$8*IF('Raw Data (0-4 Scores)'!L91&gt;'Analysis Settings'!$F$17,('Raw Data (0-4 Scores)'!L91-'Analysis Settings'!$F$17)/('Analysis Settings'!$G$17-'Analysis Settings'!$F$17),('Raw Data (0-4 Scores)'!L91-'Analysis Settings'!$F$17)/('Analysis Settings'!$F$17-'Analysis Settings'!$E$17)))))</f>
        <v>0.99723756906077354</v>
      </c>
      <c r="F91" s="22">
        <f>IF('Raw Data (0-4 Scores)'!M91='Analysis Settings'!$F$18,'Analysis Settings'!$B$9,1/(1+EXP(-'Analysis Settings'!$B$8*IF('Raw Data (0-4 Scores)'!M91&gt;'Analysis Settings'!$F$18,('Raw Data (0-4 Scores)'!M91-'Analysis Settings'!$F$18)/('Analysis Settings'!$G$18-'Analysis Settings'!$F$18),('Raw Data (0-4 Scores)'!M91-'Analysis Settings'!$F$18)/('Analysis Settings'!$F$18-'Analysis Settings'!$E$18)))))</f>
        <v>0.97744272118270281</v>
      </c>
      <c r="G91" s="22">
        <f>IF('Raw Data (0-4 Scores)'!N91='Analysis Settings'!$F$19,'Analysis Settings'!$B$9,1/(1+EXP(-'Analysis Settings'!$B$8*IF('Raw Data (0-4 Scores)'!N91&gt;'Analysis Settings'!$F$19,('Raw Data (0-4 Scores)'!N91-'Analysis Settings'!$F$19)/('Analysis Settings'!$G$19-'Analysis Settings'!$F$19),('Raw Data (0-4 Scores)'!N91-'Analysis Settings'!$F$19)/('Analysis Settings'!$F$19-'Analysis Settings'!$E$19)))))</f>
        <v>0.92835307627002983</v>
      </c>
      <c r="H91" s="22">
        <f>IF('Raw Data (0-4 Scores)'!O91='Analysis Settings'!$F$20,'Analysis Settings'!$B$9,1/(1+EXP(-'Analysis Settings'!$B$8*IF('Raw Data (0-4 Scores)'!O91&gt;'Analysis Settings'!$F$20,('Raw Data (0-4 Scores)'!O91-'Analysis Settings'!$F$20)/('Analysis Settings'!$G$20-'Analysis Settings'!$F$20),('Raw Data (0-4 Scores)'!O91-'Analysis Settings'!$F$20)/('Analysis Settings'!$F$20-'Analysis Settings'!$E$20)))))</f>
        <v>0.99558256004915957</v>
      </c>
      <c r="I91" s="22">
        <f>IF('Raw Data (0-4 Scores)'!P91='Analysis Settings'!$F$21,'Analysis Settings'!$B$9,1/(1+EXP(-'Analysis Settings'!$B$8*IF('Raw Data (0-4 Scores)'!P91&gt;'Analysis Settings'!$F$21,('Raw Data (0-4 Scores)'!P91-'Analysis Settings'!$F$21)/('Analysis Settings'!$G$21-'Analysis Settings'!$F$21),('Raw Data (0-4 Scores)'!P91-'Analysis Settings'!$F$21)/('Analysis Settings'!$F$21-'Analysis Settings'!$E$21)))))</f>
        <v>0.99629527285145281</v>
      </c>
      <c r="J91" s="22">
        <f t="shared" si="2"/>
        <v>3.7047271485471933E-3</v>
      </c>
    </row>
    <row r="92" spans="1:10" ht="15" customHeight="1" x14ac:dyDescent="0.3">
      <c r="A92" s="20" t="str">
        <f>'Raw Data (0-4 Scores)'!A92</f>
        <v>UMS Holdings</v>
      </c>
      <c r="B92" s="20">
        <f>'Raw Data (0-4 Scores)'!E92</f>
        <v>2023</v>
      </c>
      <c r="C92" s="22">
        <f>IF('Raw Data (0-4 Scores)'!J92='Analysis Settings'!$F$15,'Analysis Settings'!$B$9,1/(1+EXP(-'Analysis Settings'!$B$8*IF('Raw Data (0-4 Scores)'!J92&gt;'Analysis Settings'!$F$15,('Raw Data (0-4 Scores)'!J92-'Analysis Settings'!$F$15)/('Analysis Settings'!$G$15-'Analysis Settings'!$F$15),('Raw Data (0-4 Scores)'!J92-'Analysis Settings'!$F$15)/('Analysis Settings'!$F$15-'Analysis Settings'!$E$15)))))</f>
        <v>1.1588305548248447E-2</v>
      </c>
      <c r="D92" s="22">
        <f>IF('Raw Data (0-4 Scores)'!K92='Analysis Settings'!$F$16,'Analysis Settings'!$B$9,1/(1+EXP(-'Analysis Settings'!$B$8*IF('Raw Data (0-4 Scores)'!K92&gt;'Analysis Settings'!$F$16,('Raw Data (0-4 Scores)'!K92-'Analysis Settings'!$F$16)/('Analysis Settings'!$G$16-'Analysis Settings'!$F$16),('Raw Data (0-4 Scores)'!K92-'Analysis Settings'!$F$16)/('Analysis Settings'!$F$16-'Analysis Settings'!$E$16)))))</f>
        <v>6.4642011551116424E-3</v>
      </c>
      <c r="E92" s="22">
        <f>IF('Raw Data (0-4 Scores)'!L92='Analysis Settings'!$F$17,'Analysis Settings'!$B$9,1/(1+EXP(-'Analysis Settings'!$B$8*IF('Raw Data (0-4 Scores)'!L92&gt;'Analysis Settings'!$F$17,('Raw Data (0-4 Scores)'!L92-'Analysis Settings'!$F$17)/('Analysis Settings'!$G$17-'Analysis Settings'!$F$17),('Raw Data (0-4 Scores)'!L92-'Analysis Settings'!$F$17)/('Analysis Settings'!$F$17-'Analysis Settings'!$E$17)))))</f>
        <v>0.41972843571892698</v>
      </c>
      <c r="F92" s="22">
        <f>IF('Raw Data (0-4 Scores)'!M92='Analysis Settings'!$F$18,'Analysis Settings'!$B$9,1/(1+EXP(-'Analysis Settings'!$B$8*IF('Raw Data (0-4 Scores)'!M92&gt;'Analysis Settings'!$F$18,('Raw Data (0-4 Scores)'!M92-'Analysis Settings'!$F$18)/('Analysis Settings'!$G$18-'Analysis Settings'!$F$18),('Raw Data (0-4 Scores)'!M92-'Analysis Settings'!$F$18)/('Analysis Settings'!$F$18-'Analysis Settings'!$E$18)))))</f>
        <v>1.0314052138263047E-2</v>
      </c>
      <c r="G92" s="22">
        <f>IF('Raw Data (0-4 Scores)'!N92='Analysis Settings'!$F$19,'Analysis Settings'!$B$9,1/(1+EXP(-'Analysis Settings'!$B$8*IF('Raw Data (0-4 Scores)'!N92&gt;'Analysis Settings'!$F$19,('Raw Data (0-4 Scores)'!N92-'Analysis Settings'!$F$19)/('Analysis Settings'!$G$19-'Analysis Settings'!$F$19),('Raw Data (0-4 Scores)'!N92-'Analysis Settings'!$F$19)/('Analysis Settings'!$F$19-'Analysis Settings'!$E$19)))))</f>
        <v>2.6799274123128488E-2</v>
      </c>
      <c r="H92" s="22">
        <f>IF('Raw Data (0-4 Scores)'!O92='Analysis Settings'!$F$20,'Analysis Settings'!$B$9,1/(1+EXP(-'Analysis Settings'!$B$8*IF('Raw Data (0-4 Scores)'!O92&gt;'Analysis Settings'!$F$20,('Raw Data (0-4 Scores)'!O92-'Analysis Settings'!$F$20)/('Analysis Settings'!$G$20-'Analysis Settings'!$F$20),('Raw Data (0-4 Scores)'!O92-'Analysis Settings'!$F$20)/('Analysis Settings'!$F$20-'Analysis Settings'!$E$20)))))</f>
        <v>8.2078183992441059E-2</v>
      </c>
      <c r="I92" s="22">
        <f>IF('Raw Data (0-4 Scores)'!P92='Analysis Settings'!$F$21,'Analysis Settings'!$B$9,1/(1+EXP(-'Analysis Settings'!$B$8*IF('Raw Data (0-4 Scores)'!P92&gt;'Analysis Settings'!$F$21,('Raw Data (0-4 Scores)'!P92-'Analysis Settings'!$F$21)/('Analysis Settings'!$G$21-'Analysis Settings'!$F$21),('Raw Data (0-4 Scores)'!P92-'Analysis Settings'!$F$21)/('Analysis Settings'!$F$21-'Analysis Settings'!$E$21)))))</f>
        <v>4.7275762366902646E-2</v>
      </c>
      <c r="J92" s="22">
        <f t="shared" si="2"/>
        <v>4.7275762366902646E-2</v>
      </c>
    </row>
    <row r="93" spans="1:10" ht="15" customHeight="1" x14ac:dyDescent="0.3">
      <c r="A93" s="20" t="str">
        <f>'Raw Data (0-4 Scores)'!A93</f>
        <v>UMS Holdings</v>
      </c>
      <c r="B93" s="20">
        <f>'Raw Data (0-4 Scores)'!E93</f>
        <v>2024</v>
      </c>
      <c r="C93" s="22">
        <f>IF('Raw Data (0-4 Scores)'!J93='Analysis Settings'!$F$15,'Analysis Settings'!$B$9,1/(1+EXP(-'Analysis Settings'!$B$8*IF('Raw Data (0-4 Scores)'!J93&gt;'Analysis Settings'!$F$15,('Raw Data (0-4 Scores)'!J93-'Analysis Settings'!$F$15)/('Analysis Settings'!$G$15-'Analysis Settings'!$F$15),('Raw Data (0-4 Scores)'!J93-'Analysis Settings'!$F$15)/('Analysis Settings'!$F$15-'Analysis Settings'!$E$15)))))</f>
        <v>3.5647713715120405E-2</v>
      </c>
      <c r="D93" s="22">
        <f>IF('Raw Data (0-4 Scores)'!K93='Analysis Settings'!$F$16,'Analysis Settings'!$B$9,1/(1+EXP(-'Analysis Settings'!$B$8*IF('Raw Data (0-4 Scores)'!K93&gt;'Analysis Settings'!$F$16,('Raw Data (0-4 Scores)'!K93-'Analysis Settings'!$F$16)/('Analysis Settings'!$G$16-'Analysis Settings'!$F$16),('Raw Data (0-4 Scores)'!K93-'Analysis Settings'!$F$16)/('Analysis Settings'!$F$16-'Analysis Settings'!$E$16)))))</f>
        <v>5.2872508278093353E-2</v>
      </c>
      <c r="E93" s="22">
        <f>IF('Raw Data (0-4 Scores)'!L93='Analysis Settings'!$F$17,'Analysis Settings'!$B$9,1/(1+EXP(-'Analysis Settings'!$B$8*IF('Raw Data (0-4 Scores)'!L93&gt;'Analysis Settings'!$F$17,('Raw Data (0-4 Scores)'!L93-'Analysis Settings'!$F$17)/('Analysis Settings'!$G$17-'Analysis Settings'!$F$17),('Raw Data (0-4 Scores)'!L93-'Analysis Settings'!$F$17)/('Analysis Settings'!$F$17-'Analysis Settings'!$E$17)))))</f>
        <v>0.47058959967932096</v>
      </c>
      <c r="F93" s="22">
        <f>IF('Raw Data (0-4 Scores)'!M93='Analysis Settings'!$F$18,'Analysis Settings'!$B$9,1/(1+EXP(-'Analysis Settings'!$B$8*IF('Raw Data (0-4 Scores)'!M93&gt;'Analysis Settings'!$F$18,('Raw Data (0-4 Scores)'!M93-'Analysis Settings'!$F$18)/('Analysis Settings'!$G$18-'Analysis Settings'!$F$18),('Raw Data (0-4 Scores)'!M93-'Analysis Settings'!$F$18)/('Analysis Settings'!$F$18-'Analysis Settings'!$E$18)))))</f>
        <v>6.9713001622540655E-2</v>
      </c>
      <c r="G93" s="22">
        <f>IF('Raw Data (0-4 Scores)'!N93='Analysis Settings'!$F$19,'Analysis Settings'!$B$9,1/(1+EXP(-'Analysis Settings'!$B$8*IF('Raw Data (0-4 Scores)'!N93&gt;'Analysis Settings'!$F$19,('Raw Data (0-4 Scores)'!N93-'Analysis Settings'!$F$19)/('Analysis Settings'!$G$19-'Analysis Settings'!$F$19),('Raw Data (0-4 Scores)'!N93-'Analysis Settings'!$F$19)/('Analysis Settings'!$F$19-'Analysis Settings'!$E$19)))))</f>
        <v>3.8812076660729729E-2</v>
      </c>
      <c r="H93" s="22">
        <f>IF('Raw Data (0-4 Scores)'!O93='Analysis Settings'!$F$20,'Analysis Settings'!$B$9,1/(1+EXP(-'Analysis Settings'!$B$8*IF('Raw Data (0-4 Scores)'!O93&gt;'Analysis Settings'!$F$20,('Raw Data (0-4 Scores)'!O93-'Analysis Settings'!$F$20)/('Analysis Settings'!$G$20-'Analysis Settings'!$F$20),('Raw Data (0-4 Scores)'!O93-'Analysis Settings'!$F$20)/('Analysis Settings'!$F$20-'Analysis Settings'!$E$20)))))</f>
        <v>3.8812076660729729E-2</v>
      </c>
      <c r="I93" s="22">
        <f>IF('Raw Data (0-4 Scores)'!P93='Analysis Settings'!$F$21,'Analysis Settings'!$B$9,1/(1+EXP(-'Analysis Settings'!$B$8*IF('Raw Data (0-4 Scores)'!P93&gt;'Analysis Settings'!$F$21,('Raw Data (0-4 Scores)'!P93-'Analysis Settings'!$F$21)/('Analysis Settings'!$G$21-'Analysis Settings'!$F$21),('Raw Data (0-4 Scores)'!P93-'Analysis Settings'!$F$21)/('Analysis Settings'!$F$21-'Analysis Settings'!$E$21)))))</f>
        <v>3.0048363945809339E-2</v>
      </c>
      <c r="J93" s="22">
        <f t="shared" si="2"/>
        <v>3.0048363945809339E-2</v>
      </c>
    </row>
    <row r="94" spans="1:10" ht="15" customHeight="1" x14ac:dyDescent="0.3">
      <c r="A94" s="20" t="str">
        <f>'Raw Data (0-4 Scores)'!A94</f>
        <v>UMS Holdings</v>
      </c>
      <c r="B94" s="20">
        <f>'Raw Data (0-4 Scores)'!E94</f>
        <v>2025</v>
      </c>
      <c r="C94" s="22">
        <f>IF('Raw Data (0-4 Scores)'!J94='Analysis Settings'!$F$15,'Analysis Settings'!$B$9,1/(1+EXP(-'Analysis Settings'!$B$8*IF('Raw Data (0-4 Scores)'!J94&gt;'Analysis Settings'!$F$15,('Raw Data (0-4 Scores)'!J94-'Analysis Settings'!$F$15)/('Analysis Settings'!$G$15-'Analysis Settings'!$F$15),('Raw Data (0-4 Scores)'!J94-'Analysis Settings'!$F$15)/('Analysis Settings'!$F$15-'Analysis Settings'!$E$15)))))</f>
        <v>6.4197542640305805E-2</v>
      </c>
      <c r="D94" s="22">
        <f>IF('Raw Data (0-4 Scores)'!K94='Analysis Settings'!$F$16,'Analysis Settings'!$B$9,1/(1+EXP(-'Analysis Settings'!$B$8*IF('Raw Data (0-4 Scores)'!K94&gt;'Analysis Settings'!$F$16,('Raw Data (0-4 Scores)'!K94-'Analysis Settings'!$F$16)/('Analysis Settings'!$G$16-'Analysis Settings'!$F$16),('Raw Data (0-4 Scores)'!K94-'Analysis Settings'!$F$16)/('Analysis Settings'!$F$16-'Analysis Settings'!$E$16)))))</f>
        <v>6.9713001622540655E-2</v>
      </c>
      <c r="E94" s="22">
        <f>IF('Raw Data (0-4 Scores)'!L94='Analysis Settings'!$F$17,'Analysis Settings'!$B$9,1/(1+EXP(-'Analysis Settings'!$B$8*IF('Raw Data (0-4 Scores)'!L94&gt;'Analysis Settings'!$F$17,('Raw Data (0-4 Scores)'!L94-'Analysis Settings'!$F$17)/('Analysis Settings'!$G$17-'Analysis Settings'!$F$17),('Raw Data (0-4 Scores)'!L94-'Analysis Settings'!$F$17)/('Analysis Settings'!$F$17-'Analysis Settings'!$E$17)))))</f>
        <v>0.4413820109527673</v>
      </c>
      <c r="F94" s="22">
        <f>IF('Raw Data (0-4 Scores)'!M94='Analysis Settings'!$F$18,'Analysis Settings'!$B$9,1/(1+EXP(-'Analysis Settings'!$B$8*IF('Raw Data (0-4 Scores)'!M94&gt;'Analysis Settings'!$F$18,('Raw Data (0-4 Scores)'!M94-'Analysis Settings'!$F$18)/('Analysis Settings'!$G$18-'Analysis Settings'!$F$18),('Raw Data (0-4 Scores)'!M94-'Analysis Settings'!$F$18)/('Analysis Settings'!$F$18-'Analysis Settings'!$E$18)))))</f>
        <v>0.18217749321889848</v>
      </c>
      <c r="G94" s="22">
        <f>IF('Raw Data (0-4 Scores)'!N94='Analysis Settings'!$F$19,'Analysis Settings'!$B$9,1/(1+EXP(-'Analysis Settings'!$B$8*IF('Raw Data (0-4 Scores)'!N94&gt;'Analysis Settings'!$F$19,('Raw Data (0-4 Scores)'!N94-'Analysis Settings'!$F$19)/('Analysis Settings'!$G$19-'Analysis Settings'!$F$19),('Raw Data (0-4 Scores)'!N94-'Analysis Settings'!$F$19)/('Analysis Settings'!$F$19-'Analysis Settings'!$E$19)))))</f>
        <v>6.074922123513446E-2</v>
      </c>
      <c r="H94" s="22">
        <f>IF('Raw Data (0-4 Scores)'!O94='Analysis Settings'!$F$20,'Analysis Settings'!$B$9,1/(1+EXP(-'Analysis Settings'!$B$8*IF('Raw Data (0-4 Scores)'!O94&gt;'Analysis Settings'!$F$20,('Raw Data (0-4 Scores)'!O94-'Analysis Settings'!$F$20)/('Analysis Settings'!$G$20-'Analysis Settings'!$F$20),('Raw Data (0-4 Scores)'!O94-'Analysis Settings'!$F$20)/('Analysis Settings'!$F$20-'Analysis Settings'!$E$20)))))</f>
        <v>0.18660549686337077</v>
      </c>
      <c r="I94" s="22">
        <f>IF('Raw Data (0-4 Scores)'!P94='Analysis Settings'!$F$21,'Analysis Settings'!$B$9,1/(1+EXP(-'Analysis Settings'!$B$8*IF('Raw Data (0-4 Scores)'!P94&gt;'Analysis Settings'!$F$21,('Raw Data (0-4 Scores)'!P94-'Analysis Settings'!$F$21)/('Analysis Settings'!$G$21-'Analysis Settings'!$F$21),('Raw Data (0-4 Scores)'!P94-'Analysis Settings'!$F$21)/('Analysis Settings'!$F$21-'Analysis Settings'!$E$21)))))</f>
        <v>7.7749214326728613E-2</v>
      </c>
      <c r="J94" s="22">
        <f t="shared" si="2"/>
        <v>7.7749214326728613E-2</v>
      </c>
    </row>
    <row r="95" spans="1:10" ht="15" customHeight="1" x14ac:dyDescent="0.3">
      <c r="A95" s="20" t="str">
        <f>'Raw Data (0-4 Scores)'!A95</f>
        <v>United Microelectronics Corp.</v>
      </c>
      <c r="B95" s="20">
        <f>'Raw Data (0-4 Scores)'!E95</f>
        <v>2023</v>
      </c>
      <c r="C95" s="22">
        <f>IF('Raw Data (0-4 Scores)'!J95='Analysis Settings'!$F$15,'Analysis Settings'!$B$9,1/(1+EXP(-'Analysis Settings'!$B$8*IF('Raw Data (0-4 Scores)'!J95&gt;'Analysis Settings'!$F$15,('Raw Data (0-4 Scores)'!J95-'Analysis Settings'!$F$15)/('Analysis Settings'!$G$15-'Analysis Settings'!$F$15),('Raw Data (0-4 Scores)'!J95-'Analysis Settings'!$F$15)/('Analysis Settings'!$F$15-'Analysis Settings'!$E$15)))))</f>
        <v>0.25730983068931551</v>
      </c>
      <c r="D95" s="22">
        <f>IF('Raw Data (0-4 Scores)'!K95='Analysis Settings'!$F$16,'Analysis Settings'!$B$9,1/(1+EXP(-'Analysis Settings'!$B$8*IF('Raw Data (0-4 Scores)'!K95&gt;'Analysis Settings'!$F$16,('Raw Data (0-4 Scores)'!K95-'Analysis Settings'!$F$16)/('Analysis Settings'!$G$16-'Analysis Settings'!$F$16),('Raw Data (0-4 Scores)'!K95-'Analysis Settings'!$F$16)/('Analysis Settings'!$F$16-'Analysis Settings'!$E$16)))))</f>
        <v>2.3892850011059553E-2</v>
      </c>
      <c r="E95" s="22">
        <f>IF('Raw Data (0-4 Scores)'!L95='Analysis Settings'!$F$17,'Analysis Settings'!$B$9,1/(1+EXP(-'Analysis Settings'!$B$8*IF('Raw Data (0-4 Scores)'!L95&gt;'Analysis Settings'!$F$17,('Raw Data (0-4 Scores)'!L95-'Analysis Settings'!$F$17)/('Analysis Settings'!$G$17-'Analysis Settings'!$F$17),('Raw Data (0-4 Scores)'!L95-'Analysis Settings'!$F$17)/('Analysis Settings'!$F$17-'Analysis Settings'!$E$17)))))</f>
        <v>0.89833727306921118</v>
      </c>
      <c r="F95" s="22">
        <f>IF('Raw Data (0-4 Scores)'!M95='Analysis Settings'!$F$18,'Analysis Settings'!$B$9,1/(1+EXP(-'Analysis Settings'!$B$8*IF('Raw Data (0-4 Scores)'!M95&gt;'Analysis Settings'!$F$18,('Raw Data (0-4 Scores)'!M95-'Analysis Settings'!$F$18)/('Analysis Settings'!$G$18-'Analysis Settings'!$F$18),('Raw Data (0-4 Scores)'!M95-'Analysis Settings'!$F$18)/('Analysis Settings'!$F$18-'Analysis Settings'!$E$18)))))</f>
        <v>0.11001854575693849</v>
      </c>
      <c r="G95" s="22">
        <f>IF('Raw Data (0-4 Scores)'!N95='Analysis Settings'!$F$19,'Analysis Settings'!$B$9,1/(1+EXP(-'Analysis Settings'!$B$8*IF('Raw Data (0-4 Scores)'!N95&gt;'Analysis Settings'!$F$19,('Raw Data (0-4 Scores)'!N95-'Analysis Settings'!$F$19)/('Analysis Settings'!$G$19-'Analysis Settings'!$F$19),('Raw Data (0-4 Scores)'!N95-'Analysis Settings'!$F$19)/('Analysis Settings'!$F$19-'Analysis Settings'!$E$19)))))</f>
        <v>0.92011307352532246</v>
      </c>
      <c r="H95" s="22">
        <f>IF('Raw Data (0-4 Scores)'!O95='Analysis Settings'!$F$20,'Analysis Settings'!$B$9,1/(1+EXP(-'Analysis Settings'!$B$8*IF('Raw Data (0-4 Scores)'!O95&gt;'Analysis Settings'!$F$20,('Raw Data (0-4 Scores)'!O95-'Analysis Settings'!$F$20)/('Analysis Settings'!$G$20-'Analysis Settings'!$F$20),('Raw Data (0-4 Scores)'!O95-'Analysis Settings'!$F$20)/('Analysis Settings'!$F$20-'Analysis Settings'!$E$20)))))</f>
        <v>0.93217253322527993</v>
      </c>
      <c r="I95" s="22">
        <f>IF('Raw Data (0-4 Scores)'!P95='Analysis Settings'!$F$21,'Analysis Settings'!$B$9,1/(1+EXP(-'Analysis Settings'!$B$8*IF('Raw Data (0-4 Scores)'!P95&gt;'Analysis Settings'!$F$21,('Raw Data (0-4 Scores)'!P95-'Analysis Settings'!$F$21)/('Analysis Settings'!$G$21-'Analysis Settings'!$F$21),('Raw Data (0-4 Scores)'!P95-'Analysis Settings'!$F$21)/('Analysis Settings'!$F$21-'Analysis Settings'!$E$21)))))</f>
        <v>0.27454878407708211</v>
      </c>
      <c r="J95" s="22">
        <f t="shared" si="2"/>
        <v>0.27454878407708211</v>
      </c>
    </row>
    <row r="96" spans="1:10" ht="15" customHeight="1" x14ac:dyDescent="0.3">
      <c r="A96" s="20" t="str">
        <f>'Raw Data (0-4 Scores)'!A96</f>
        <v>United Microelectronics Corp.</v>
      </c>
      <c r="B96" s="20">
        <f>'Raw Data (0-4 Scores)'!E96</f>
        <v>2024</v>
      </c>
      <c r="C96" s="22">
        <f>IF('Raw Data (0-4 Scores)'!J96='Analysis Settings'!$F$15,'Analysis Settings'!$B$9,1/(1+EXP(-'Analysis Settings'!$B$8*IF('Raw Data (0-4 Scores)'!J96&gt;'Analysis Settings'!$F$15,('Raw Data (0-4 Scores)'!J96-'Analysis Settings'!$F$15)/('Analysis Settings'!$G$15-'Analysis Settings'!$F$15),('Raw Data (0-4 Scores)'!J96-'Analysis Settings'!$F$15)/('Analysis Settings'!$F$15-'Analysis Settings'!$E$15)))))</f>
        <v>0.40545727719757751</v>
      </c>
      <c r="D96" s="22">
        <f>IF('Raw Data (0-4 Scores)'!K96='Analysis Settings'!$F$16,'Analysis Settings'!$B$9,1/(1+EXP(-'Analysis Settings'!$B$8*IF('Raw Data (0-4 Scores)'!K96&gt;'Analysis Settings'!$F$16,('Raw Data (0-4 Scores)'!K96-'Analysis Settings'!$F$16)/('Analysis Settings'!$G$16-'Analysis Settings'!$F$16),('Raw Data (0-4 Scores)'!K96-'Analysis Settings'!$F$16)/('Analysis Settings'!$F$16-'Analysis Settings'!$E$16)))))</f>
        <v>5.2872508278093353E-2</v>
      </c>
      <c r="E96" s="22">
        <f>IF('Raw Data (0-4 Scores)'!L96='Analysis Settings'!$F$17,'Analysis Settings'!$B$9,1/(1+EXP(-'Analysis Settings'!$B$8*IF('Raw Data (0-4 Scores)'!L96&gt;'Analysis Settings'!$F$17,('Raw Data (0-4 Scores)'!L96-'Analysis Settings'!$F$17)/('Analysis Settings'!$G$17-'Analysis Settings'!$F$17),('Raw Data (0-4 Scores)'!L96-'Analysis Settings'!$F$17)/('Analysis Settings'!$F$17-'Analysis Settings'!$E$17)))))</f>
        <v>0.92835307627002983</v>
      </c>
      <c r="F96" s="22">
        <f>IF('Raw Data (0-4 Scores)'!M96='Analysis Settings'!$F$18,'Analysis Settings'!$B$9,1/(1+EXP(-'Analysis Settings'!$B$8*IF('Raw Data (0-4 Scores)'!M96&gt;'Analysis Settings'!$F$18,('Raw Data (0-4 Scores)'!M96-'Analysis Settings'!$F$18)/('Analysis Settings'!$G$18-'Analysis Settings'!$F$18),('Raw Data (0-4 Scores)'!M96-'Analysis Settings'!$F$18)/('Analysis Settings'!$F$18-'Analysis Settings'!$E$18)))))</f>
        <v>0.55134603874286192</v>
      </c>
      <c r="G96" s="22">
        <f>IF('Raw Data (0-4 Scores)'!N96='Analysis Settings'!$F$19,'Analysis Settings'!$B$9,1/(1+EXP(-'Analysis Settings'!$B$8*IF('Raw Data (0-4 Scores)'!N96&gt;'Analysis Settings'!$F$19,('Raw Data (0-4 Scores)'!N96-'Analysis Settings'!$F$19)/('Analysis Settings'!$G$19-'Analysis Settings'!$F$19),('Raw Data (0-4 Scores)'!N96-'Analysis Settings'!$F$19)/('Analysis Settings'!$F$19-'Analysis Settings'!$E$19)))))</f>
        <v>0.95272423763309744</v>
      </c>
      <c r="H96" s="22">
        <f>IF('Raw Data (0-4 Scores)'!O96='Analysis Settings'!$F$20,'Analysis Settings'!$B$9,1/(1+EXP(-'Analysis Settings'!$B$8*IF('Raw Data (0-4 Scores)'!O96&gt;'Analysis Settings'!$F$20,('Raw Data (0-4 Scores)'!O96-'Analysis Settings'!$F$20)/('Analysis Settings'!$G$20-'Analysis Settings'!$F$20),('Raw Data (0-4 Scores)'!O96-'Analysis Settings'!$F$20)/('Analysis Settings'!$F$20-'Analysis Settings'!$E$20)))))</f>
        <v>0.96118792333927039</v>
      </c>
      <c r="I96" s="22">
        <f>IF('Raw Data (0-4 Scores)'!P96='Analysis Settings'!$F$21,'Analysis Settings'!$B$9,1/(1+EXP(-'Analysis Settings'!$B$8*IF('Raw Data (0-4 Scores)'!P96&gt;'Analysis Settings'!$F$21,('Raw Data (0-4 Scores)'!P96-'Analysis Settings'!$F$21)/('Analysis Settings'!$G$21-'Analysis Settings'!$F$21),('Raw Data (0-4 Scores)'!P96-'Analysis Settings'!$F$21)/('Analysis Settings'!$F$21-'Analysis Settings'!$E$21)))))</f>
        <v>0.51471794179339414</v>
      </c>
      <c r="J96" s="22">
        <f t="shared" si="2"/>
        <v>0.48528205820660586</v>
      </c>
    </row>
    <row r="97" spans="1:10" ht="15" customHeight="1" x14ac:dyDescent="0.3">
      <c r="A97" s="20" t="str">
        <f>'Raw Data (0-4 Scores)'!A97</f>
        <v>United Microelectronics Corp.</v>
      </c>
      <c r="B97" s="20">
        <f>'Raw Data (0-4 Scores)'!E97</f>
        <v>2025</v>
      </c>
      <c r="C97" s="22">
        <f>IF('Raw Data (0-4 Scores)'!J97='Analysis Settings'!$F$15,'Analysis Settings'!$B$9,1/(1+EXP(-'Analysis Settings'!$B$8*IF('Raw Data (0-4 Scores)'!J97&gt;'Analysis Settings'!$F$15,('Raw Data (0-4 Scores)'!J97-'Analysis Settings'!$F$15)/('Analysis Settings'!$G$15-'Analysis Settings'!$F$15),('Raw Data (0-4 Scores)'!J97-'Analysis Settings'!$F$15)/('Analysis Settings'!$F$15-'Analysis Settings'!$E$15)))))</f>
        <v>0.84654741782144594</v>
      </c>
      <c r="D97" s="22">
        <f>IF('Raw Data (0-4 Scores)'!K97='Analysis Settings'!$F$16,'Analysis Settings'!$B$9,1/(1+EXP(-'Analysis Settings'!$B$8*IF('Raw Data (0-4 Scores)'!K97&gt;'Analysis Settings'!$F$16,('Raw Data (0-4 Scores)'!K97-'Analysis Settings'!$F$16)/('Analysis Settings'!$G$16-'Analysis Settings'!$F$16),('Raw Data (0-4 Scores)'!K97-'Analysis Settings'!$F$16)/('Analysis Settings'!$F$16-'Analysis Settings'!$E$16)))))</f>
        <v>0.12854498369787987</v>
      </c>
      <c r="E97" s="22">
        <f>IF('Raw Data (0-4 Scores)'!L97='Analysis Settings'!$F$17,'Analysis Settings'!$B$9,1/(1+EXP(-'Analysis Settings'!$B$8*IF('Raw Data (0-4 Scores)'!L97&gt;'Analysis Settings'!$F$17,('Raw Data (0-4 Scores)'!L97-'Analysis Settings'!$F$17)/('Analysis Settings'!$G$17-'Analysis Settings'!$F$17),('Raw Data (0-4 Scores)'!L97-'Analysis Settings'!$F$17)/('Analysis Settings'!$F$17-'Analysis Settings'!$E$17)))))</f>
        <v>0.95654745293718613</v>
      </c>
      <c r="F97" s="22">
        <f>IF('Raw Data (0-4 Scores)'!M97='Analysis Settings'!$F$18,'Analysis Settings'!$B$9,1/(1+EXP(-'Analysis Settings'!$B$8*IF('Raw Data (0-4 Scores)'!M97&gt;'Analysis Settings'!$F$18,('Raw Data (0-4 Scores)'!M97-'Analysis Settings'!$F$18)/('Analysis Settings'!$G$18-'Analysis Settings'!$F$18),('Raw Data (0-4 Scores)'!M97-'Analysis Settings'!$F$18)/('Analysis Settings'!$F$18-'Analysis Settings'!$E$18)))))</f>
        <v>0.64310991374259807</v>
      </c>
      <c r="G97" s="22">
        <f>IF('Raw Data (0-4 Scores)'!N97='Analysis Settings'!$F$19,'Analysis Settings'!$B$9,1/(1+EXP(-'Analysis Settings'!$B$8*IF('Raw Data (0-4 Scores)'!N97&gt;'Analysis Settings'!$F$19,('Raw Data (0-4 Scores)'!N97-'Analysis Settings'!$F$19)/('Analysis Settings'!$G$19-'Analysis Settings'!$F$19),('Raw Data (0-4 Scores)'!N97-'Analysis Settings'!$F$19)/('Analysis Settings'!$F$19-'Analysis Settings'!$E$19)))))</f>
        <v>0.97870526483276787</v>
      </c>
      <c r="H97" s="22">
        <f>IF('Raw Data (0-4 Scores)'!O97='Analysis Settings'!$F$20,'Analysis Settings'!$B$9,1/(1+EXP(-'Analysis Settings'!$B$8*IF('Raw Data (0-4 Scores)'!O97&gt;'Analysis Settings'!$F$20,('Raw Data (0-4 Scores)'!O97-'Analysis Settings'!$F$20)/('Analysis Settings'!$G$20-'Analysis Settings'!$F$20),('Raw Data (0-4 Scores)'!O97-'Analysis Settings'!$F$20)/('Analysis Settings'!$F$20-'Analysis Settings'!$E$20)))))</f>
        <v>0.96726744327006176</v>
      </c>
      <c r="I97" s="22">
        <f>IF('Raw Data (0-4 Scores)'!P97='Analysis Settings'!$F$21,'Analysis Settings'!$B$9,1/(1+EXP(-'Analysis Settings'!$B$8*IF('Raw Data (0-4 Scores)'!P97&gt;'Analysis Settings'!$F$21,('Raw Data (0-4 Scores)'!P97-'Analysis Settings'!$F$21)/('Analysis Settings'!$G$21-'Analysis Settings'!$F$21),('Raw Data (0-4 Scores)'!P97-'Analysis Settings'!$F$21)/('Analysis Settings'!$F$21-'Analysis Settings'!$E$21)))))</f>
        <v>0.60162042277573946</v>
      </c>
      <c r="J97" s="22">
        <f t="shared" si="2"/>
        <v>0.39837957722426054</v>
      </c>
    </row>
    <row r="98" spans="1:10" ht="15" customHeight="1" x14ac:dyDescent="0.3">
      <c r="A98" s="20" t="str">
        <f>'Raw Data (0-4 Scores)'!A98</f>
        <v>Venture Corporation</v>
      </c>
      <c r="B98" s="20">
        <f>'Raw Data (0-4 Scores)'!E98</f>
        <v>2023</v>
      </c>
      <c r="C98" s="22">
        <f>IF('Raw Data (0-4 Scores)'!J98='Analysis Settings'!$F$15,'Analysis Settings'!$B$9,1/(1+EXP(-'Analysis Settings'!$B$8*IF('Raw Data (0-4 Scores)'!J98&gt;'Analysis Settings'!$F$15,('Raw Data (0-4 Scores)'!J98-'Analysis Settings'!$F$15)/('Analysis Settings'!$G$15-'Analysis Settings'!$F$15),('Raw Data (0-4 Scores)'!J98-'Analysis Settings'!$F$15)/('Analysis Settings'!$F$15-'Analysis Settings'!$E$15)))))</f>
        <v>1.4203071562854217E-2</v>
      </c>
      <c r="D98" s="22">
        <f>IF('Raw Data (0-4 Scores)'!K98='Analysis Settings'!$F$16,'Analysis Settings'!$B$9,1/(1+EXP(-'Analysis Settings'!$B$8*IF('Raw Data (0-4 Scores)'!K98&gt;'Analysis Settings'!$F$16,('Raw Data (0-4 Scores)'!K98-'Analysis Settings'!$F$16)/('Analysis Settings'!$G$16-'Analysis Settings'!$F$16),('Raw Data (0-4 Scores)'!K98-'Analysis Settings'!$F$16)/('Analysis Settings'!$F$16-'Analysis Settings'!$E$16)))))</f>
        <v>1.8433273496656633E-2</v>
      </c>
      <c r="E98" s="22">
        <f>IF('Raw Data (0-4 Scores)'!L98='Analysis Settings'!$F$17,'Analysis Settings'!$B$9,1/(1+EXP(-'Analysis Settings'!$B$8*IF('Raw Data (0-4 Scores)'!L98&gt;'Analysis Settings'!$F$17,('Raw Data (0-4 Scores)'!L98-'Analysis Settings'!$F$17)/('Analysis Settings'!$G$17-'Analysis Settings'!$F$17),('Raw Data (0-4 Scores)'!L98-'Analysis Settings'!$F$17)/('Analysis Settings'!$F$17-'Analysis Settings'!$E$17)))))</f>
        <v>0.36367625459897801</v>
      </c>
      <c r="F98" s="22">
        <f>IF('Raw Data (0-4 Scores)'!M98='Analysis Settings'!$F$18,'Analysis Settings'!$B$9,1/(1+EXP(-'Analysis Settings'!$B$8*IF('Raw Data (0-4 Scores)'!M98&gt;'Analysis Settings'!$F$18,('Raw Data (0-4 Scores)'!M98-'Analysis Settings'!$F$18)/('Analysis Settings'!$G$18-'Analysis Settings'!$F$18),('Raw Data (0-4 Scores)'!M98-'Analysis Settings'!$F$18)/('Analysis Settings'!$F$18-'Analysis Settings'!$E$18)))))</f>
        <v>0.29861804311592288</v>
      </c>
      <c r="G98" s="22">
        <f>IF('Raw Data (0-4 Scores)'!N98='Analysis Settings'!$F$19,'Analysis Settings'!$B$9,1/(1+EXP(-'Analysis Settings'!$B$8*IF('Raw Data (0-4 Scores)'!N98&gt;'Analysis Settings'!$F$19,('Raw Data (0-4 Scores)'!N98-'Analysis Settings'!$F$19)/('Analysis Settings'!$G$19-'Analysis Settings'!$F$19),('Raw Data (0-4 Scores)'!N98-'Analysis Settings'!$F$19)/('Analysis Settings'!$F$19-'Analysis Settings'!$E$19)))))</f>
        <v>0.41972843571892698</v>
      </c>
      <c r="H98" s="22">
        <f>IF('Raw Data (0-4 Scores)'!O98='Analysis Settings'!$F$20,'Analysis Settings'!$B$9,1/(1+EXP(-'Analysis Settings'!$B$8*IF('Raw Data (0-4 Scores)'!O98&gt;'Analysis Settings'!$F$20,('Raw Data (0-4 Scores)'!O98-'Analysis Settings'!$F$20)/('Analysis Settings'!$G$20-'Analysis Settings'!$F$20),('Raw Data (0-4 Scores)'!O98-'Analysis Settings'!$F$20)/('Analysis Settings'!$F$20-'Analysis Settings'!$E$20)))))</f>
        <v>0.11897018984817385</v>
      </c>
      <c r="I98" s="22">
        <f>IF('Raw Data (0-4 Scores)'!P98='Analysis Settings'!$F$21,'Analysis Settings'!$B$9,1/(1+EXP(-'Analysis Settings'!$B$8*IF('Raw Data (0-4 Scores)'!P98&gt;'Analysis Settings'!$F$21,('Raw Data (0-4 Scores)'!P98-'Analysis Settings'!$F$21)/('Analysis Settings'!$G$21-'Analysis Settings'!$F$21),('Raw Data (0-4 Scores)'!P98-'Analysis Settings'!$F$21)/('Analysis Settings'!$F$21-'Analysis Settings'!$E$21)))))</f>
        <v>0.41257448944264608</v>
      </c>
      <c r="J98" s="22">
        <f t="shared" ref="J98:J129" si="3">MIN(I98,1-I98)</f>
        <v>0.41257448944264608</v>
      </c>
    </row>
    <row r="99" spans="1:10" ht="15" customHeight="1" x14ac:dyDescent="0.3">
      <c r="A99" s="20" t="str">
        <f>'Raw Data (0-4 Scores)'!A99</f>
        <v>Venture Corporation</v>
      </c>
      <c r="B99" s="20">
        <f>'Raw Data (0-4 Scores)'!E99</f>
        <v>2024</v>
      </c>
      <c r="C99" s="22">
        <f>IF('Raw Data (0-4 Scores)'!J99='Analysis Settings'!$F$15,'Analysis Settings'!$B$9,1/(1+EXP(-'Analysis Settings'!$B$8*IF('Raw Data (0-4 Scores)'!J99&gt;'Analysis Settings'!$F$15,('Raw Data (0-4 Scores)'!J99-'Analysis Settings'!$F$15)/('Analysis Settings'!$G$15-'Analysis Settings'!$F$15),('Raw Data (0-4 Scores)'!J99-'Analysis Settings'!$F$15)/('Analysis Settings'!$F$15-'Analysis Settings'!$E$15)))))</f>
        <v>5.9090730917347546E-2</v>
      </c>
      <c r="D99" s="22">
        <f>IF('Raw Data (0-4 Scores)'!K99='Analysis Settings'!$F$16,'Analysis Settings'!$B$9,1/(1+EXP(-'Analysis Settings'!$B$8*IF('Raw Data (0-4 Scores)'!K99&gt;'Analysis Settings'!$F$16,('Raw Data (0-4 Scores)'!K99-'Analysis Settings'!$F$16)/('Analysis Settings'!$G$16-'Analysis Settings'!$F$16),('Raw Data (0-4 Scores)'!K99-'Analysis Settings'!$F$16)/('Analysis Settings'!$F$16-'Analysis Settings'!$E$16)))))</f>
        <v>4.2245027618854757E-2</v>
      </c>
      <c r="E99" s="22">
        <f>IF('Raw Data (0-4 Scores)'!L99='Analysis Settings'!$F$17,'Analysis Settings'!$B$9,1/(1+EXP(-'Analysis Settings'!$B$8*IF('Raw Data (0-4 Scores)'!L99&gt;'Analysis Settings'!$F$17,('Raw Data (0-4 Scores)'!L99-'Analysis Settings'!$F$17)/('Analysis Settings'!$G$17-'Analysis Settings'!$F$17),('Raw Data (0-4 Scores)'!L99-'Analysis Settings'!$F$17)/('Analysis Settings'!$F$17-'Analysis Settings'!$E$17)))))</f>
        <v>0.4852820582066058</v>
      </c>
      <c r="F99" s="22">
        <f>IF('Raw Data (0-4 Scores)'!M99='Analysis Settings'!$F$18,'Analysis Settings'!$B$9,1/(1+EXP(-'Analysis Settings'!$B$8*IF('Raw Data (0-4 Scores)'!M99&gt;'Analysis Settings'!$F$18,('Raw Data (0-4 Scores)'!M99-'Analysis Settings'!$F$18)/('Analysis Settings'!$G$18-'Analysis Settings'!$F$18),('Raw Data (0-4 Scores)'!M99-'Analysis Settings'!$F$18)/('Analysis Settings'!$F$18-'Analysis Settings'!$E$18)))))</f>
        <v>0.40545727719757751</v>
      </c>
      <c r="G99" s="22">
        <f>IF('Raw Data (0-4 Scores)'!N99='Analysis Settings'!$F$19,'Analysis Settings'!$B$9,1/(1+EXP(-'Analysis Settings'!$B$8*IF('Raw Data (0-4 Scores)'!N99&gt;'Analysis Settings'!$F$19,('Raw Data (0-4 Scores)'!N99-'Analysis Settings'!$F$19)/('Analysis Settings'!$G$19-'Analysis Settings'!$F$19),('Raw Data (0-4 Scores)'!N99-'Analysis Settings'!$F$19)/('Analysis Settings'!$F$19-'Analysis Settings'!$E$19)))))</f>
        <v>0.40545727719757751</v>
      </c>
      <c r="H99" s="22">
        <f>IF('Raw Data (0-4 Scores)'!O99='Analysis Settings'!$F$20,'Analysis Settings'!$B$9,1/(1+EXP(-'Analysis Settings'!$B$8*IF('Raw Data (0-4 Scores)'!O99&gt;'Analysis Settings'!$F$20,('Raw Data (0-4 Scores)'!O99-'Analysis Settings'!$F$20)/('Analysis Settings'!$G$20-'Analysis Settings'!$F$20),('Raw Data (0-4 Scores)'!O99-'Analysis Settings'!$F$20)/('Analysis Settings'!$F$20-'Analysis Settings'!$E$20)))))</f>
        <v>0.46326084676106677</v>
      </c>
      <c r="I99" s="22">
        <f>IF('Raw Data (0-4 Scores)'!P99='Analysis Settings'!$F$21,'Analysis Settings'!$B$9,1/(1+EXP(-'Analysis Settings'!$B$8*IF('Raw Data (0-4 Scores)'!P99&gt;'Analysis Settings'!$F$21,('Raw Data (0-4 Scores)'!P99-'Analysis Settings'!$F$21)/('Analysis Settings'!$G$21-'Analysis Settings'!$F$21),('Raw Data (0-4 Scores)'!P99-'Analysis Settings'!$F$21)/('Analysis Settings'!$F$21-'Analysis Settings'!$E$21)))))</f>
        <v>0.4413820109527673</v>
      </c>
      <c r="J99" s="22">
        <f t="shared" si="3"/>
        <v>0.4413820109527673</v>
      </c>
    </row>
    <row r="100" spans="1:10" ht="15" customHeight="1" x14ac:dyDescent="0.3">
      <c r="A100" s="20" t="str">
        <f>'Raw Data (0-4 Scores)'!A100</f>
        <v>Venture Corporation</v>
      </c>
      <c r="B100" s="20">
        <f>'Raw Data (0-4 Scores)'!E100</f>
        <v>2025</v>
      </c>
      <c r="C100" s="22">
        <f>IF('Raw Data (0-4 Scores)'!J100='Analysis Settings'!$F$15,'Analysis Settings'!$B$9,1/(1+EXP(-'Analysis Settings'!$B$8*IF('Raw Data (0-4 Scores)'!J100&gt;'Analysis Settings'!$F$15,('Raw Data (0-4 Scores)'!J100-'Analysis Settings'!$F$15)/('Analysis Settings'!$G$15-'Analysis Settings'!$F$15),('Raw Data (0-4 Scores)'!J100-'Analysis Settings'!$F$15)/('Analysis Settings'!$F$15-'Analysis Settings'!$E$15)))))</f>
        <v>0.12854498369787987</v>
      </c>
      <c r="D100" s="22">
        <f>IF('Raw Data (0-4 Scores)'!K100='Analysis Settings'!$F$16,'Analysis Settings'!$B$9,1/(1+EXP(-'Analysis Settings'!$B$8*IF('Raw Data (0-4 Scores)'!K100&gt;'Analysis Settings'!$F$16,('Raw Data (0-4 Scores)'!K100-'Analysis Settings'!$F$16)/('Analysis Settings'!$G$16-'Analysis Settings'!$F$16),('Raw Data (0-4 Scores)'!K100-'Analysis Settings'!$F$16)/('Analysis Settings'!$F$16-'Analysis Settings'!$E$16)))))</f>
        <v>0.16938431215463484</v>
      </c>
      <c r="E100" s="22">
        <f>IF('Raw Data (0-4 Scores)'!L100='Analysis Settings'!$F$17,'Analysis Settings'!$B$9,1/(1+EXP(-'Analysis Settings'!$B$8*IF('Raw Data (0-4 Scores)'!L100&gt;'Analysis Settings'!$F$17,('Raw Data (0-4 Scores)'!L100-'Analysis Settings'!$F$17)/('Analysis Settings'!$G$17-'Analysis Settings'!$F$17),('Raw Data (0-4 Scores)'!L100-'Analysis Settings'!$F$17)/('Analysis Settings'!$F$17-'Analysis Settings'!$E$17)))))</f>
        <v>0.72545121592291795</v>
      </c>
      <c r="F100" s="22">
        <f>IF('Raw Data (0-4 Scores)'!M100='Analysis Settings'!$F$18,'Analysis Settings'!$B$9,1/(1+EXP(-'Analysis Settings'!$B$8*IF('Raw Data (0-4 Scores)'!M100&gt;'Analysis Settings'!$F$18,('Raw Data (0-4 Scores)'!M100-'Analysis Settings'!$F$18)/('Analysis Settings'!$G$18-'Analysis Settings'!$F$18),('Raw Data (0-4 Scores)'!M100-'Analysis Settings'!$F$18)/('Analysis Settings'!$F$18-'Analysis Settings'!$E$18)))))</f>
        <v>0.85767447660296903</v>
      </c>
      <c r="G100" s="22">
        <f>IF('Raw Data (0-4 Scores)'!N100='Analysis Settings'!$F$19,'Analysis Settings'!$B$9,1/(1+EXP(-'Analysis Settings'!$B$8*IF('Raw Data (0-4 Scores)'!N100&gt;'Analysis Settings'!$F$19,('Raw Data (0-4 Scores)'!N100-'Analysis Settings'!$F$19)/('Analysis Settings'!$G$19-'Analysis Settings'!$F$19),('Raw Data (0-4 Scores)'!N100-'Analysis Settings'!$F$19)/('Analysis Settings'!$F$19-'Analysis Settings'!$E$19)))))</f>
        <v>0.804290752573395</v>
      </c>
      <c r="H100" s="22">
        <f>IF('Raw Data (0-4 Scores)'!O100='Analysis Settings'!$F$20,'Analysis Settings'!$B$9,1/(1+EXP(-'Analysis Settings'!$B$8*IF('Raw Data (0-4 Scores)'!O100&gt;'Analysis Settings'!$F$20,('Raw Data (0-4 Scores)'!O100-'Analysis Settings'!$F$20)/('Analysis Settings'!$G$20-'Analysis Settings'!$F$20),('Raw Data (0-4 Scores)'!O100-'Analysis Settings'!$F$20)/('Analysis Settings'!$F$20-'Analysis Settings'!$E$20)))))</f>
        <v>0.30482136725650155</v>
      </c>
      <c r="I100" s="22">
        <f>IF('Raw Data (0-4 Scores)'!P100='Analysis Settings'!$F$21,'Analysis Settings'!$B$9,1/(1+EXP(-'Analysis Settings'!$B$8*IF('Raw Data (0-4 Scores)'!P100&gt;'Analysis Settings'!$F$21,('Raw Data (0-4 Scores)'!P100-'Analysis Settings'!$F$21)/('Analysis Settings'!$G$21-'Analysis Settings'!$F$21),('Raw Data (0-4 Scores)'!P100-'Analysis Settings'!$F$21)/('Analysis Settings'!$F$21-'Analysis Settings'!$E$21)))))</f>
        <v>0.74269016931068432</v>
      </c>
      <c r="J100" s="22">
        <f t="shared" si="3"/>
        <v>0.25730983068931568</v>
      </c>
    </row>
    <row r="101" spans="1:10" ht="15" customHeight="1" x14ac:dyDescent="0.3">
      <c r="A101" s="20" t="str">
        <f>'Raw Data (0-4 Scores)'!A101</f>
        <v>Wolfspeed</v>
      </c>
      <c r="B101" s="20">
        <f>'Raw Data (0-4 Scores)'!E101</f>
        <v>2023</v>
      </c>
      <c r="C101" s="22">
        <f>IF('Raw Data (0-4 Scores)'!J101='Analysis Settings'!$F$15,'Analysis Settings'!$B$9,1/(1+EXP(-'Analysis Settings'!$B$8*IF('Raw Data (0-4 Scores)'!J101&gt;'Analysis Settings'!$F$15,('Raw Data (0-4 Scores)'!J101-'Analysis Settings'!$F$15)/('Analysis Settings'!$G$15-'Analysis Settings'!$F$15),('Raw Data (0-4 Scores)'!J101-'Analysis Settings'!$F$15)/('Analysis Settings'!$F$15-'Analysis Settings'!$E$15)))))</f>
        <v>1.0618985477380253E-2</v>
      </c>
      <c r="D101" s="22">
        <f>IF('Raw Data (0-4 Scores)'!K101='Analysis Settings'!$F$16,'Analysis Settings'!$B$9,1/(1+EXP(-'Analysis Settings'!$B$8*IF('Raw Data (0-4 Scores)'!K101&gt;'Analysis Settings'!$F$16,('Raw Data (0-4 Scores)'!K101-'Analysis Settings'!$F$16)/('Analysis Settings'!$G$16-'Analysis Settings'!$F$16),('Raw Data (0-4 Scores)'!K101-'Analysis Settings'!$F$16)/('Analysis Settings'!$F$16-'Analysis Settings'!$E$16)))))</f>
        <v>1.0618985477380253E-2</v>
      </c>
      <c r="E101" s="22">
        <f>IF('Raw Data (0-4 Scores)'!L101='Analysis Settings'!$F$17,'Analysis Settings'!$B$9,1/(1+EXP(-'Analysis Settings'!$B$8*IF('Raw Data (0-4 Scores)'!L101&gt;'Analysis Settings'!$F$17,('Raw Data (0-4 Scores)'!L101-'Analysis Settings'!$F$17)/('Analysis Settings'!$G$17-'Analysis Settings'!$F$17),('Raw Data (0-4 Scores)'!L101-'Analysis Settings'!$F$17)/('Analysis Settings'!$F$17-'Analysis Settings'!$E$17)))))</f>
        <v>1.7908007708085431E-2</v>
      </c>
      <c r="F101" s="22">
        <f>IF('Raw Data (0-4 Scores)'!M101='Analysis Settings'!$F$18,'Analysis Settings'!$B$9,1/(1+EXP(-'Analysis Settings'!$B$8*IF('Raw Data (0-4 Scores)'!M101&gt;'Analysis Settings'!$F$18,('Raw Data (0-4 Scores)'!M101-'Analysis Settings'!$F$18)/('Analysis Settings'!$G$18-'Analysis Settings'!$F$18),('Raw Data (0-4 Scores)'!M101-'Analysis Settings'!$F$18)/('Analysis Settings'!$F$18-'Analysis Settings'!$E$18)))))</f>
        <v>1.2644976044386462E-2</v>
      </c>
      <c r="G101" s="22">
        <f>IF('Raw Data (0-4 Scores)'!N101='Analysis Settings'!$F$19,'Analysis Settings'!$B$9,1/(1+EXP(-'Analysis Settings'!$B$8*IF('Raw Data (0-4 Scores)'!N101&gt;'Analysis Settings'!$F$19,('Raw Data (0-4 Scores)'!N101-'Analysis Settings'!$F$19)/('Analysis Settings'!$G$19-'Analysis Settings'!$F$19),('Raw Data (0-4 Scores)'!N101-'Analysis Settings'!$F$19)/('Analysis Settings'!$F$19-'Analysis Settings'!$E$19)))))</f>
        <v>0.58027156428107285</v>
      </c>
      <c r="H101" s="22">
        <f>IF('Raw Data (0-4 Scores)'!O101='Analysis Settings'!$F$20,'Analysis Settings'!$B$9,1/(1+EXP(-'Analysis Settings'!$B$8*IF('Raw Data (0-4 Scores)'!O101&gt;'Analysis Settings'!$F$20,('Raw Data (0-4 Scores)'!O101-'Analysis Settings'!$F$20)/('Analysis Settings'!$G$20-'Analysis Settings'!$F$20),('Raw Data (0-4 Scores)'!O101-'Analysis Settings'!$F$20)/('Analysis Settings'!$F$20-'Analysis Settings'!$E$20)))))</f>
        <v>2.7578009343456888E-2</v>
      </c>
      <c r="I101" s="22">
        <f>IF('Raw Data (0-4 Scores)'!P101='Analysis Settings'!$F$21,'Analysis Settings'!$B$9,1/(1+EXP(-'Analysis Settings'!$B$8*IF('Raw Data (0-4 Scores)'!P101&gt;'Analysis Settings'!$F$21,('Raw Data (0-4 Scores)'!P101-'Analysis Settings'!$F$21)/('Analysis Settings'!$G$21-'Analysis Settings'!$F$21),('Raw Data (0-4 Scores)'!P101-'Analysis Settings'!$F$21)/('Analysis Settings'!$F$21-'Analysis Settings'!$E$21)))))</f>
        <v>0.53673915323893306</v>
      </c>
      <c r="J101" s="22">
        <f t="shared" si="3"/>
        <v>0.46326084676106694</v>
      </c>
    </row>
    <row r="102" spans="1:10" ht="15" customHeight="1" x14ac:dyDescent="0.3">
      <c r="A102" s="20" t="str">
        <f>'Raw Data (0-4 Scores)'!A102</f>
        <v>Wolfspeed</v>
      </c>
      <c r="B102" s="20">
        <f>'Raw Data (0-4 Scores)'!E102</f>
        <v>2024</v>
      </c>
      <c r="C102" s="22">
        <f>IF('Raw Data (0-4 Scores)'!J102='Analysis Settings'!$F$15,'Analysis Settings'!$B$9,1/(1+EXP(-'Analysis Settings'!$B$8*IF('Raw Data (0-4 Scores)'!J102&gt;'Analysis Settings'!$F$15,('Raw Data (0-4 Scores)'!J102-'Analysis Settings'!$F$15)/('Analysis Settings'!$G$15-'Analysis Settings'!$F$15),('Raw Data (0-4 Scores)'!J102-'Analysis Settings'!$F$15)/('Analysis Settings'!$F$15-'Analysis Settings'!$E$15)))))</f>
        <v>3.6673878325323338E-2</v>
      </c>
      <c r="D102" s="22">
        <f>IF('Raw Data (0-4 Scores)'!K102='Analysis Settings'!$F$16,'Analysis Settings'!$B$9,1/(1+EXP(-'Analysis Settings'!$B$8*IF('Raw Data (0-4 Scores)'!K102&gt;'Analysis Settings'!$F$16,('Raw Data (0-4 Scores)'!K102-'Analysis Settings'!$F$16)/('Analysis Settings'!$G$16-'Analysis Settings'!$F$16),('Raw Data (0-4 Scores)'!K102-'Analysis Settings'!$F$16)/('Analysis Settings'!$F$16-'Analysis Settings'!$E$16)))))</f>
        <v>4.4692971251104087E-2</v>
      </c>
      <c r="E102" s="22">
        <f>IF('Raw Data (0-4 Scores)'!L102='Analysis Settings'!$F$17,'Analysis Settings'!$B$9,1/(1+EXP(-'Analysis Settings'!$B$8*IF('Raw Data (0-4 Scores)'!L102&gt;'Analysis Settings'!$F$17,('Raw Data (0-4 Scores)'!L102-'Analysis Settings'!$F$17)/('Analysis Settings'!$G$17-'Analysis Settings'!$F$17),('Raw Data (0-4 Scores)'!L102-'Analysis Settings'!$F$17)/('Analysis Settings'!$F$17-'Analysis Settings'!$E$17)))))</f>
        <v>4.5967103748543979E-2</v>
      </c>
      <c r="F102" s="22">
        <f>IF('Raw Data (0-4 Scores)'!M102='Analysis Settings'!$F$18,'Analysis Settings'!$B$9,1/(1+EXP(-'Analysis Settings'!$B$8*IF('Raw Data (0-4 Scores)'!M102&gt;'Analysis Settings'!$F$18,('Raw Data (0-4 Scores)'!M102-'Analysis Settings'!$F$18)/('Analysis Settings'!$G$18-'Analysis Settings'!$F$18),('Raw Data (0-4 Scores)'!M102-'Analysis Settings'!$F$18)/('Analysis Settings'!$F$18-'Analysis Settings'!$E$18)))))</f>
        <v>4.7275762366902646E-2</v>
      </c>
      <c r="G102" s="22">
        <f>IF('Raw Data (0-4 Scores)'!N102='Analysis Settings'!$F$19,'Analysis Settings'!$B$9,1/(1+EXP(-'Analysis Settings'!$B$8*IF('Raw Data (0-4 Scores)'!N102&gt;'Analysis Settings'!$F$19,('Raw Data (0-4 Scores)'!N102-'Analysis Settings'!$F$19)/('Analysis Settings'!$G$19-'Analysis Settings'!$F$19),('Raw Data (0-4 Scores)'!N102-'Analysis Settings'!$F$19)/('Analysis Settings'!$F$19-'Analysis Settings'!$E$19)))))</f>
        <v>0.39134410295349109</v>
      </c>
      <c r="H102" s="22">
        <f>IF('Raw Data (0-4 Scores)'!O102='Analysis Settings'!$F$20,'Analysis Settings'!$B$9,1/(1+EXP(-'Analysis Settings'!$B$8*IF('Raw Data (0-4 Scores)'!O102&gt;'Analysis Settings'!$F$20,('Raw Data (0-4 Scores)'!O102-'Analysis Settings'!$F$20)/('Analysis Settings'!$G$20-'Analysis Settings'!$F$20),('Raw Data (0-4 Scores)'!O102-'Analysis Settings'!$F$20)/('Analysis Settings'!$F$20-'Analysis Settings'!$E$20)))))</f>
        <v>3.4649229260611335E-2</v>
      </c>
      <c r="I102" s="22">
        <f>IF('Raw Data (0-4 Scores)'!P102='Analysis Settings'!$F$21,'Analysis Settings'!$B$9,1/(1+EXP(-'Analysis Settings'!$B$8*IF('Raw Data (0-4 Scores)'!P102&gt;'Analysis Settings'!$F$21,('Raw Data (0-4 Scores)'!P102-'Analysis Settings'!$F$21)/('Analysis Settings'!$G$21-'Analysis Settings'!$F$21),('Raw Data (0-4 Scores)'!P102-'Analysis Settings'!$F$21)/('Analysis Settings'!$F$21-'Analysis Settings'!$E$21)))))</f>
        <v>0.5073605656718494</v>
      </c>
      <c r="J102" s="22">
        <f t="shared" si="3"/>
        <v>0.4926394343281506</v>
      </c>
    </row>
    <row r="103" spans="1:10" ht="15" customHeight="1" x14ac:dyDescent="0.3">
      <c r="A103" s="20" t="str">
        <f>'Raw Data (0-4 Scores)'!A103</f>
        <v>Wolfspeed</v>
      </c>
      <c r="B103" s="20">
        <f>'Raw Data (0-4 Scores)'!E103</f>
        <v>2025</v>
      </c>
      <c r="C103" s="22">
        <f>IF('Raw Data (0-4 Scores)'!J103='Analysis Settings'!$F$15,'Analysis Settings'!$B$9,1/(1+EXP(-'Analysis Settings'!$B$8*IF('Raw Data (0-4 Scores)'!J103&gt;'Analysis Settings'!$F$15,('Raw Data (0-4 Scores)'!J103-'Analysis Settings'!$F$15)/('Analysis Settings'!$G$15-'Analysis Settings'!$F$15),('Raw Data (0-4 Scores)'!J103-'Analysis Settings'!$F$15)/('Analysis Settings'!$F$15-'Analysis Settings'!$E$15)))))</f>
        <v>0.10166272693078893</v>
      </c>
      <c r="D103" s="22">
        <f>IF('Raw Data (0-4 Scores)'!K103='Analysis Settings'!$F$16,'Analysis Settings'!$B$9,1/(1+EXP(-'Analysis Settings'!$B$8*IF('Raw Data (0-4 Scores)'!K103&gt;'Analysis Settings'!$F$16,('Raw Data (0-4 Scores)'!K103-'Analysis Settings'!$F$16)/('Analysis Settings'!$G$16-'Analysis Settings'!$F$16),('Raw Data (0-4 Scores)'!K103-'Analysis Settings'!$F$16)/('Analysis Settings'!$F$16-'Analysis Settings'!$E$16)))))</f>
        <v>7.5664001658437882E-2</v>
      </c>
      <c r="E103" s="22">
        <f>IF('Raw Data (0-4 Scores)'!L103='Analysis Settings'!$F$17,'Analysis Settings'!$B$9,1/(1+EXP(-'Analysis Settings'!$B$8*IF('Raw Data (0-4 Scores)'!L103&gt;'Analysis Settings'!$F$17,('Raw Data (0-4 Scores)'!L103-'Analysis Settings'!$F$17)/('Analysis Settings'!$G$17-'Analysis Settings'!$F$17),('Raw Data (0-4 Scores)'!L103-'Analysis Settings'!$F$17)/('Analysis Settings'!$F$17-'Analysis Settings'!$E$17)))))</f>
        <v>5.7474747740164214E-2</v>
      </c>
      <c r="F103" s="22">
        <f>IF('Raw Data (0-4 Scores)'!M103='Analysis Settings'!$F$18,'Analysis Settings'!$B$9,1/(1+EXP(-'Analysis Settings'!$B$8*IF('Raw Data (0-4 Scores)'!M103&gt;'Analysis Settings'!$F$18,('Raw Data (0-4 Scores)'!M103-'Analysis Settings'!$F$18)/('Analysis Settings'!$G$18-'Analysis Settings'!$F$18),('Raw Data (0-4 Scores)'!M103-'Analysis Settings'!$F$18)/('Analysis Settings'!$F$18-'Analysis Settings'!$E$18)))))</f>
        <v>9.1399756768021381E-2</v>
      </c>
      <c r="G103" s="22">
        <f>IF('Raw Data (0-4 Scores)'!N103='Analysis Settings'!$F$19,'Analysis Settings'!$B$9,1/(1+EXP(-'Analysis Settings'!$B$8*IF('Raw Data (0-4 Scores)'!N103&gt;'Analysis Settings'!$F$19,('Raw Data (0-4 Scores)'!N103-'Analysis Settings'!$F$19)/('Analysis Settings'!$G$19-'Analysis Settings'!$F$19),('Raw Data (0-4 Scores)'!N103-'Analysis Settings'!$F$19)/('Analysis Settings'!$F$19-'Analysis Settings'!$E$19)))))</f>
        <v>0.17783159064496304</v>
      </c>
      <c r="H103" s="22">
        <f>IF('Raw Data (0-4 Scores)'!O103='Analysis Settings'!$F$20,'Analysis Settings'!$B$9,1/(1+EXP(-'Analysis Settings'!$B$8*IF('Raw Data (0-4 Scores)'!O103&gt;'Analysis Settings'!$F$20,('Raw Data (0-4 Scores)'!O103-'Analysis Settings'!$F$20)/('Analysis Settings'!$G$20-'Analysis Settings'!$F$20),('Raw Data (0-4 Scores)'!O103-'Analysis Settings'!$F$20)/('Analysis Settings'!$F$20-'Analysis Settings'!$E$20)))))</f>
        <v>0.14232552339703083</v>
      </c>
      <c r="I103" s="22">
        <f>IF('Raw Data (0-4 Scores)'!P103='Analysis Settings'!$F$21,'Analysis Settings'!$B$9,1/(1+EXP(-'Analysis Settings'!$B$8*IF('Raw Data (0-4 Scores)'!P103&gt;'Analysis Settings'!$F$21,('Raw Data (0-4 Scores)'!P103-'Analysis Settings'!$F$21)/('Analysis Settings'!$G$21-'Analysis Settings'!$F$21),('Raw Data (0-4 Scores)'!P103-'Analysis Settings'!$F$21)/('Analysis Settings'!$F$21-'Analysis Settings'!$E$21)))))</f>
        <v>6.7827466774720027E-2</v>
      </c>
      <c r="J103" s="22">
        <f t="shared" si="3"/>
        <v>6.7827466774720027E-2</v>
      </c>
    </row>
    <row r="104" spans="1:10" ht="15" customHeight="1" x14ac:dyDescent="0.3">
      <c r="A104" s="20" t="str">
        <f>'Raw Data (0-4 Scores)'!A104</f>
        <v>onsemi</v>
      </c>
      <c r="B104" s="20">
        <f>'Raw Data (0-4 Scores)'!E104</f>
        <v>2023</v>
      </c>
      <c r="C104" s="22">
        <f>IF('Raw Data (0-4 Scores)'!J104='Analysis Settings'!$F$15,'Analysis Settings'!$B$9,1/(1+EXP(-'Analysis Settings'!$B$8*IF('Raw Data (0-4 Scores)'!J104&gt;'Analysis Settings'!$F$15,('Raw Data (0-4 Scores)'!J104-'Analysis Settings'!$F$15)/('Analysis Settings'!$G$15-'Analysis Settings'!$F$15),('Raw Data (0-4 Scores)'!J104-'Analysis Settings'!$F$15)/('Analysis Settings'!$F$15-'Analysis Settings'!$E$15)))))</f>
        <v>0.28643210075973391</v>
      </c>
      <c r="D104" s="22">
        <f>IF('Raw Data (0-4 Scores)'!K104='Analysis Settings'!$F$16,'Analysis Settings'!$B$9,1/(1+EXP(-'Analysis Settings'!$B$8*IF('Raw Data (0-4 Scores)'!K104&gt;'Analysis Settings'!$F$16,('Raw Data (0-4 Scores)'!K104-'Analysis Settings'!$F$16)/('Analysis Settings'!$G$16-'Analysis Settings'!$F$16),('Raw Data (0-4 Scores)'!K104-'Analysis Settings'!$F$16)/('Analysis Settings'!$F$16-'Analysis Settings'!$E$16)))))</f>
        <v>3.5647713715120405E-2</v>
      </c>
      <c r="E104" s="22">
        <f>IF('Raw Data (0-4 Scores)'!L104='Analysis Settings'!$F$17,'Analysis Settings'!$B$9,1/(1+EXP(-'Analysis Settings'!$B$8*IF('Raw Data (0-4 Scores)'!L104&gt;'Analysis Settings'!$F$17,('Raw Data (0-4 Scores)'!L104-'Analysis Settings'!$F$17)/('Analysis Settings'!$G$17-'Analysis Settings'!$F$17),('Raw Data (0-4 Scores)'!L104-'Analysis Settings'!$F$17)/('Analysis Settings'!$F$17-'Analysis Settings'!$E$17)))))</f>
        <v>0.99723756906077354</v>
      </c>
      <c r="F104" s="22">
        <f>IF('Raw Data (0-4 Scores)'!M104='Analysis Settings'!$F$18,'Analysis Settings'!$B$9,1/(1+EXP(-'Analysis Settings'!$B$8*IF('Raw Data (0-4 Scores)'!M104&gt;'Analysis Settings'!$F$18,('Raw Data (0-4 Scores)'!M104-'Analysis Settings'!$F$18)/('Analysis Settings'!$G$18-'Analysis Settings'!$F$18),('Raw Data (0-4 Scores)'!M104-'Analysis Settings'!$F$18)/('Analysis Settings'!$F$18-'Analysis Settings'!$E$18)))))</f>
        <v>8.4324038235349494E-2</v>
      </c>
      <c r="G104" s="22">
        <f>IF('Raw Data (0-4 Scores)'!N104='Analysis Settings'!$F$19,'Analysis Settings'!$B$9,1/(1+EXP(-'Analysis Settings'!$B$8*IF('Raw Data (0-4 Scores)'!N104&gt;'Analysis Settings'!$F$19,('Raw Data (0-4 Scores)'!N104-'Analysis Settings'!$F$19)/('Analysis Settings'!$G$19-'Analysis Settings'!$F$19),('Raw Data (0-4 Scores)'!N104-'Analysis Settings'!$F$19)/('Analysis Settings'!$F$19-'Analysis Settings'!$E$19)))))</f>
        <v>0.86123101029538174</v>
      </c>
      <c r="H104" s="22">
        <f>IF('Raw Data (0-4 Scores)'!O104='Analysis Settings'!$F$20,'Analysis Settings'!$B$9,1/(1+EXP(-'Analysis Settings'!$B$8*IF('Raw Data (0-4 Scores)'!O104&gt;'Analysis Settings'!$F$20,('Raw Data (0-4 Scores)'!O104-'Analysis Settings'!$F$20)/('Analysis Settings'!$G$20-'Analysis Settings'!$F$20),('Raw Data (0-4 Scores)'!O104-'Analysis Settings'!$F$20)/('Analysis Settings'!$F$20-'Analysis Settings'!$E$20)))))</f>
        <v>0.13528731063056154</v>
      </c>
      <c r="I104" s="22">
        <f>IF('Raw Data (0-4 Scores)'!P104='Analysis Settings'!$F$21,'Analysis Settings'!$B$9,1/(1+EXP(-'Analysis Settings'!$B$8*IF('Raw Data (0-4 Scores)'!P104&gt;'Analysis Settings'!$F$21,('Raw Data (0-4 Scores)'!P104-'Analysis Settings'!$F$21)/('Analysis Settings'!$G$21-'Analysis Settings'!$F$21),('Raw Data (0-4 Scores)'!P104-'Analysis Settings'!$F$21)/('Analysis Settings'!$F$21-'Analysis Settings'!$E$21)))))</f>
        <v>0.30482136725650155</v>
      </c>
      <c r="J104" s="22">
        <f t="shared" si="3"/>
        <v>0.30482136725650155</v>
      </c>
    </row>
    <row r="105" spans="1:10" ht="15" customHeight="1" x14ac:dyDescent="0.3">
      <c r="A105" s="20" t="str">
        <f>'Raw Data (0-4 Scores)'!A105</f>
        <v>onsemi</v>
      </c>
      <c r="B105" s="20">
        <f>'Raw Data (0-4 Scores)'!E105</f>
        <v>2024</v>
      </c>
      <c r="C105" s="22">
        <f>IF('Raw Data (0-4 Scores)'!J105='Analysis Settings'!$F$15,'Analysis Settings'!$B$9,1/(1+EXP(-'Analysis Settings'!$B$8*IF('Raw Data (0-4 Scores)'!J105&gt;'Analysis Settings'!$F$15,('Raw Data (0-4 Scores)'!J105-'Analysis Settings'!$F$15)/('Analysis Settings'!$G$15-'Analysis Settings'!$F$15),('Raw Data (0-4 Scores)'!J105-'Analysis Settings'!$F$15)/('Analysis Settings'!$F$15-'Analysis Settings'!$E$15)))))</f>
        <v>0.52206894434043938</v>
      </c>
      <c r="D105" s="22">
        <f>IF('Raw Data (0-4 Scores)'!K105='Analysis Settings'!$F$16,'Analysis Settings'!$B$9,1/(1+EXP(-'Analysis Settings'!$B$8*IF('Raw Data (0-4 Scores)'!K105&gt;'Analysis Settings'!$F$16,('Raw Data (0-4 Scores)'!K105-'Analysis Settings'!$F$16)/('Analysis Settings'!$G$16-'Analysis Settings'!$F$16),('Raw Data (0-4 Scores)'!K105-'Analysis Settings'!$F$16)/('Analysis Settings'!$F$16-'Analysis Settings'!$E$16)))))</f>
        <v>6.5989312656379265E-2</v>
      </c>
      <c r="E105" s="22">
        <f>IF('Raw Data (0-4 Scores)'!L105='Analysis Settings'!$F$17,'Analysis Settings'!$B$9,1/(1+EXP(-'Analysis Settings'!$B$8*IF('Raw Data (0-4 Scores)'!L105&gt;'Analysis Settings'!$F$17,('Raw Data (0-4 Scores)'!L105-'Analysis Settings'!$F$17)/('Analysis Settings'!$G$17-'Analysis Settings'!$F$17),('Raw Data (0-4 Scores)'!L105-'Analysis Settings'!$F$17)/('Analysis Settings'!$F$17-'Analysis Settings'!$E$17)))))</f>
        <v>0.99723756906077354</v>
      </c>
      <c r="F105" s="22">
        <f>IF('Raw Data (0-4 Scores)'!M105='Analysis Settings'!$F$18,'Analysis Settings'!$B$9,1/(1+EXP(-'Analysis Settings'!$B$8*IF('Raw Data (0-4 Scores)'!M105&gt;'Analysis Settings'!$F$18,('Raw Data (0-4 Scores)'!M105-'Analysis Settings'!$F$18)/('Analysis Settings'!$G$18-'Analysis Settings'!$F$18),('Raw Data (0-4 Scores)'!M105-'Analysis Settings'!$F$18)/('Analysis Settings'!$F$18-'Analysis Settings'!$E$18)))))</f>
        <v>0.39837957722426065</v>
      </c>
      <c r="G105" s="22">
        <f>IF('Raw Data (0-4 Scores)'!N105='Analysis Settings'!$F$19,'Analysis Settings'!$B$9,1/(1+EXP(-'Analysis Settings'!$B$8*IF('Raw Data (0-4 Scores)'!N105&gt;'Analysis Settings'!$F$19,('Raw Data (0-4 Scores)'!N105-'Analysis Settings'!$F$19)/('Analysis Settings'!$G$19-'Analysis Settings'!$F$19),('Raw Data (0-4 Scores)'!N105-'Analysis Settings'!$F$19)/('Analysis Settings'!$F$19-'Analysis Settings'!$E$19)))))</f>
        <v>0.93028699837745943</v>
      </c>
      <c r="H105" s="22">
        <f>IF('Raw Data (0-4 Scores)'!O105='Analysis Settings'!$F$20,'Analysis Settings'!$B$9,1/(1+EXP(-'Analysis Settings'!$B$8*IF('Raw Data (0-4 Scores)'!O105&gt;'Analysis Settings'!$F$20,('Raw Data (0-4 Scores)'!O105-'Analysis Settings'!$F$20)/('Analysis Settings'!$G$20-'Analysis Settings'!$F$20),('Raw Data (0-4 Scores)'!O105-'Analysis Settings'!$F$20)/('Analysis Settings'!$F$20-'Analysis Settings'!$E$20)))))</f>
        <v>0.62948288252328699</v>
      </c>
      <c r="I105" s="22">
        <f>IF('Raw Data (0-4 Scores)'!P105='Analysis Settings'!$F$21,'Analysis Settings'!$B$9,1/(1+EXP(-'Analysis Settings'!$B$8*IF('Raw Data (0-4 Scores)'!P105&gt;'Analysis Settings'!$F$21,('Raw Data (0-4 Scores)'!P105-'Analysis Settings'!$F$21)/('Analysis Settings'!$G$21-'Analysis Settings'!$F$21),('Raw Data (0-4 Scores)'!P105-'Analysis Settings'!$F$21)/('Analysis Settings'!$F$21-'Analysis Settings'!$E$21)))))</f>
        <v>0.39134410295349109</v>
      </c>
      <c r="J105" s="22">
        <f t="shared" si="3"/>
        <v>0.39134410295349109</v>
      </c>
    </row>
    <row r="106" spans="1:10" ht="15" customHeight="1" x14ac:dyDescent="0.3">
      <c r="A106" s="20" t="str">
        <f>'Raw Data (0-4 Scores)'!A106</f>
        <v>onsemi</v>
      </c>
      <c r="B106" s="20">
        <f>'Raw Data (0-4 Scores)'!E106</f>
        <v>2025</v>
      </c>
      <c r="C106" s="22">
        <f>IF('Raw Data (0-4 Scores)'!J106='Analysis Settings'!$F$15,'Analysis Settings'!$B$9,1/(1+EXP(-'Analysis Settings'!$B$8*IF('Raw Data (0-4 Scores)'!J106&gt;'Analysis Settings'!$F$15,('Raw Data (0-4 Scores)'!J106-'Analysis Settings'!$F$15)/('Analysis Settings'!$G$15-'Analysis Settings'!$F$15),('Raw Data (0-4 Scores)'!J106-'Analysis Settings'!$F$15)/('Analysis Settings'!$F$15-'Analysis Settings'!$E$15)))))</f>
        <v>0.71954796439480251</v>
      </c>
      <c r="D106" s="22">
        <f>IF('Raw Data (0-4 Scores)'!K106='Analysis Settings'!$F$16,'Analysis Settings'!$B$9,1/(1+EXP(-'Analysis Settings'!$B$8*IF('Raw Data (0-4 Scores)'!K106&gt;'Analysis Settings'!$F$16,('Raw Data (0-4 Scores)'!K106-'Analysis Settings'!$F$16)/('Analysis Settings'!$G$16-'Analysis Settings'!$F$16),('Raw Data (0-4 Scores)'!K106-'Analysis Settings'!$F$16)/('Analysis Settings'!$F$16-'Analysis Settings'!$E$16)))))</f>
        <v>0.25172328845138858</v>
      </c>
      <c r="E106" s="22">
        <f>IF('Raw Data (0-4 Scores)'!L106='Analysis Settings'!$F$17,'Analysis Settings'!$B$9,1/(1+EXP(-'Analysis Settings'!$B$8*IF('Raw Data (0-4 Scores)'!L106&gt;'Analysis Settings'!$F$17,('Raw Data (0-4 Scores)'!L106-'Analysis Settings'!$F$17)/('Analysis Settings'!$G$17-'Analysis Settings'!$F$17),('Raw Data (0-4 Scores)'!L106-'Analysis Settings'!$F$17)/('Analysis Settings'!$F$17-'Analysis Settings'!$E$17)))))</f>
        <v>0.99723756906077354</v>
      </c>
      <c r="F106" s="22">
        <f>IF('Raw Data (0-4 Scores)'!M106='Analysis Settings'!$F$18,'Analysis Settings'!$B$9,1/(1+EXP(-'Analysis Settings'!$B$8*IF('Raw Data (0-4 Scores)'!M106&gt;'Analysis Settings'!$F$18,('Raw Data (0-4 Scores)'!M106-'Analysis Settings'!$F$18)/('Analysis Settings'!$G$18-'Analysis Settings'!$F$18),('Raw Data (0-4 Scores)'!M106-'Analysis Settings'!$F$18)/('Analysis Settings'!$F$18-'Analysis Settings'!$E$18)))))</f>
        <v>0.501</v>
      </c>
      <c r="G106" s="22">
        <f>IF('Raw Data (0-4 Scores)'!N106='Analysis Settings'!$F$19,'Analysis Settings'!$B$9,1/(1+EXP(-'Analysis Settings'!$B$8*IF('Raw Data (0-4 Scores)'!N106&gt;'Analysis Settings'!$F$19,('Raw Data (0-4 Scores)'!N106-'Analysis Settings'!$F$19)/('Analysis Settings'!$G$19-'Analysis Settings'!$F$19),('Raw Data (0-4 Scores)'!N106-'Analysis Settings'!$F$19)/('Analysis Settings'!$F$19-'Analysis Settings'!$E$19)))))</f>
        <v>0.94712749172190669</v>
      </c>
      <c r="H106" s="22">
        <f>IF('Raw Data (0-4 Scores)'!O106='Analysis Settings'!$F$20,'Analysis Settings'!$B$9,1/(1+EXP(-'Analysis Settings'!$B$8*IF('Raw Data (0-4 Scores)'!O106&gt;'Analysis Settings'!$F$20,('Raw Data (0-4 Scores)'!O106-'Analysis Settings'!$F$20)/('Analysis Settings'!$G$20-'Analysis Settings'!$F$20),('Raw Data (0-4 Scores)'!O106-'Analysis Settings'!$F$20)/('Analysis Settings'!$F$20-'Analysis Settings'!$E$20)))))</f>
        <v>0.36367625459897801</v>
      </c>
      <c r="I106" s="22">
        <f>IF('Raw Data (0-4 Scores)'!P106='Analysis Settings'!$F$21,'Analysis Settings'!$B$9,1/(1+EXP(-'Analysis Settings'!$B$8*IF('Raw Data (0-4 Scores)'!P106&gt;'Analysis Settings'!$F$21,('Raw Data (0-4 Scores)'!P106-'Analysis Settings'!$F$21)/('Analysis Settings'!$G$21-'Analysis Settings'!$F$21),('Raw Data (0-4 Scores)'!P106-'Analysis Settings'!$F$21)/('Analysis Settings'!$F$21-'Analysis Settings'!$E$21)))))</f>
        <v>0.60865589704650891</v>
      </c>
      <c r="J106" s="22">
        <f t="shared" si="3"/>
        <v>0.39134410295349109</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Overview</vt:lpstr>
      <vt:lpstr>Revision History</vt:lpstr>
      <vt:lpstr>Company List</vt:lpstr>
      <vt:lpstr>Raw Data (0-4 Scores)</vt:lpstr>
      <vt:lpstr>Data Sources</vt:lpstr>
      <vt:lpstr>Scoring Method</vt:lpstr>
      <vt:lpstr>Calibration Anchors</vt:lpstr>
      <vt:lpstr>Fuzzy Scores (Source)</vt:lpstr>
      <vt:lpstr>Calibration Check</vt:lpstr>
      <vt:lpstr>Descriptives &amp; Correlations</vt:lpstr>
      <vt:lpstr>Analysis Settings</vt:lpstr>
      <vt:lpstr>Fuzzy Scores - Percentile</vt:lpstr>
      <vt:lpstr>Fuzzy Scores - Rubric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Raghav Mahajan</cp:lastModifiedBy>
  <cp:revision>0</cp:revision>
  <dcterms:created xsi:type="dcterms:W3CDTF">2026-09-24T07:39:15Z</dcterms:created>
  <dcterms:modified xsi:type="dcterms:W3CDTF">2026-10-07T05:54:56Z</dcterms:modified>
  <dc:language>en-US</dc:language>
</cp:coreProperties>
</file>